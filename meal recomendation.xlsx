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<sst xmlns="http://schemas.openxmlformats.org/spreadsheetml/2006/main" count="273" uniqueCount="57">
  <si>
    <t>Ingredients</t>
  </si>
  <si>
    <t>UOM</t>
  </si>
  <si>
    <t>Qty.</t>
  </si>
  <si>
    <t>Kcal</t>
  </si>
  <si>
    <t>carbs (g)</t>
  </si>
  <si>
    <t>Protein (g)</t>
  </si>
  <si>
    <t>fat (g)</t>
  </si>
  <si>
    <t>Apple</t>
  </si>
  <si>
    <t>Gms</t>
  </si>
  <si>
    <t>Pomegranate</t>
  </si>
  <si>
    <t>Banana</t>
  </si>
  <si>
    <t>Chia Seeds</t>
  </si>
  <si>
    <t>Oats</t>
  </si>
  <si>
    <t>Mixed fruits Jam</t>
  </si>
  <si>
    <t>Mixed Dry Fruits</t>
  </si>
  <si>
    <t>Milk</t>
  </si>
  <si>
    <t>Ml</t>
  </si>
  <si>
    <t>ml</t>
  </si>
  <si>
    <t>coconut Powder</t>
  </si>
  <si>
    <t>Chia seeds</t>
  </si>
  <si>
    <t>Mango</t>
  </si>
  <si>
    <t>Papaya</t>
  </si>
  <si>
    <t>Brown Bread</t>
  </si>
  <si>
    <t>nos</t>
  </si>
  <si>
    <t>Peanut Butter</t>
  </si>
  <si>
    <t>Butter</t>
  </si>
  <si>
    <t>Ragi Malt</t>
  </si>
  <si>
    <t>curd</t>
  </si>
  <si>
    <t>Watermelon</t>
  </si>
  <si>
    <t>Muskmelon</t>
  </si>
  <si>
    <t>PineApple</t>
  </si>
  <si>
    <t>Kiwi</t>
  </si>
  <si>
    <t>Rice</t>
  </si>
  <si>
    <t>Tomato Onion Salad</t>
  </si>
  <si>
    <t>Corn,capsium Salad</t>
  </si>
  <si>
    <t>Roasted Chicken Breast</t>
  </si>
  <si>
    <t>Rajma Masala</t>
  </si>
  <si>
    <t>OIL/BUTTER</t>
  </si>
  <si>
    <t>Corn Salad</t>
  </si>
  <si>
    <t>Paneer</t>
  </si>
  <si>
    <t>Soya</t>
  </si>
  <si>
    <t>Grilled Chicken Breast</t>
  </si>
  <si>
    <t>Lettuce</t>
  </si>
  <si>
    <t>Mint Yoghourt</t>
  </si>
  <si>
    <t>Wrap</t>
  </si>
  <si>
    <t>No.</t>
  </si>
  <si>
    <t>Onion</t>
  </si>
  <si>
    <t>Tomato</t>
  </si>
  <si>
    <t>Capsium</t>
  </si>
  <si>
    <t>Mayonnaise</t>
  </si>
  <si>
    <t>Tomato Sauces</t>
  </si>
  <si>
    <t>Grilled Panner</t>
  </si>
  <si>
    <t>Water</t>
  </si>
  <si>
    <t>Stevia</t>
  </si>
  <si>
    <t>Carbs</t>
  </si>
  <si>
    <t>protien</t>
  </si>
  <si>
    <t>fats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</si>
</sst>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b/>
      <sz val="13.0"/>
      <color rgb="FF000000"/>
      <name val="&quot;Times New Roman&quot;"/>
    </font>
    <font>
      <color rgb="FF000000"/>
      <name val="Arial"/>
    </font>
    <font>
      <color rgb="FF000000"/>
      <name val="&quot;Times New Roman&quot;"/>
    </font>
    <font>
      <sz val="11.0"/>
      <color rgb="FF000000"/>
      <name val="&quot;Times New Roman&quot;"/>
    </font>
    <font>
      <sz val="12.0"/>
      <color rgb="FF000000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horizontal="right" vertical="bottom"/>
    </xf>
    <xf borderId="1" fillId="2" fontId="2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7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4"/>
      <c r="M1" s="5"/>
      <c r="N1" s="6"/>
      <c r="O1" s="6"/>
      <c r="P1" s="6"/>
      <c r="Q1" s="6"/>
      <c r="R1" s="4"/>
      <c r="S1" s="4"/>
      <c r="T1" s="4"/>
      <c r="U1" s="4"/>
      <c r="V1" s="4"/>
      <c r="W1" s="4"/>
      <c r="X1" s="4"/>
      <c r="Y1" s="4"/>
      <c r="Z1" s="4"/>
    </row>
    <row r="2">
      <c r="A2" s="7"/>
      <c r="B2" s="7"/>
      <c r="C2" s="7"/>
      <c r="D2" s="4"/>
      <c r="E2" s="4"/>
      <c r="F2" s="4"/>
      <c r="G2" s="4"/>
      <c r="H2" s="3"/>
      <c r="I2" s="3"/>
      <c r="J2" s="3"/>
      <c r="K2" s="3"/>
      <c r="L2" s="4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7</v>
      </c>
      <c r="B3" s="8" t="s">
        <v>8</v>
      </c>
      <c r="C3" s="9">
        <v>25.0</v>
      </c>
      <c r="D3" s="10">
        <v>15.5</v>
      </c>
      <c r="E3" s="10">
        <v>3.27</v>
      </c>
      <c r="F3" s="10">
        <v>0.07</v>
      </c>
      <c r="G3" s="10">
        <v>0.16</v>
      </c>
      <c r="H3" s="3"/>
      <c r="I3" s="3"/>
      <c r="J3" s="3"/>
      <c r="K3" s="3"/>
      <c r="L3" s="4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9</v>
      </c>
      <c r="B4" s="8" t="s">
        <v>8</v>
      </c>
      <c r="C4" s="9">
        <v>25.0</v>
      </c>
      <c r="D4" s="10">
        <v>13.6</v>
      </c>
      <c r="E4" s="10">
        <v>2.89</v>
      </c>
      <c r="F4" s="10">
        <v>0.33</v>
      </c>
      <c r="G4" s="10">
        <v>0.03</v>
      </c>
      <c r="H4" s="3"/>
      <c r="I4" s="3"/>
      <c r="J4" s="3"/>
      <c r="K4" s="3"/>
      <c r="L4" s="4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10</v>
      </c>
      <c r="B5" s="8" t="s">
        <v>8</v>
      </c>
      <c r="C5" s="9">
        <v>50.0</v>
      </c>
      <c r="D5" s="10">
        <v>53.5</v>
      </c>
      <c r="E5" s="10">
        <v>12.6</v>
      </c>
      <c r="F5" s="10">
        <v>0.62</v>
      </c>
      <c r="G5" s="10">
        <v>0.16</v>
      </c>
      <c r="H5" s="3"/>
      <c r="I5" s="3"/>
      <c r="J5" s="3"/>
      <c r="K5" s="3"/>
      <c r="L5" s="4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11</v>
      </c>
      <c r="B6" s="8" t="s">
        <v>8</v>
      </c>
      <c r="C6" s="9">
        <v>5.0</v>
      </c>
      <c r="D6" s="10">
        <v>24.5</v>
      </c>
      <c r="E6" s="10">
        <v>2.1</v>
      </c>
      <c r="F6" s="10">
        <v>0.85</v>
      </c>
      <c r="G6" s="10">
        <v>1.55</v>
      </c>
      <c r="H6" s="3"/>
      <c r="I6" s="3"/>
      <c r="J6" s="3"/>
      <c r="K6" s="3"/>
      <c r="L6" s="4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12</v>
      </c>
      <c r="B7" s="8" t="s">
        <v>8</v>
      </c>
      <c r="C7" s="9">
        <v>50.0</v>
      </c>
      <c r="D7" s="10">
        <v>194.0</v>
      </c>
      <c r="E7" s="10">
        <v>33.0</v>
      </c>
      <c r="F7" s="10">
        <v>8.0</v>
      </c>
      <c r="G7" s="10">
        <v>3.5</v>
      </c>
      <c r="H7" s="3"/>
      <c r="I7" s="3"/>
      <c r="J7" s="3"/>
      <c r="K7" s="3"/>
      <c r="L7" s="4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13</v>
      </c>
      <c r="B8" s="8" t="s">
        <v>8</v>
      </c>
      <c r="C8" s="9">
        <v>25.0</v>
      </c>
      <c r="D8" s="10">
        <v>73.03</v>
      </c>
      <c r="E8" s="10">
        <v>17.6</v>
      </c>
      <c r="F8" s="10">
        <v>0.48</v>
      </c>
      <c r="G8" s="10">
        <v>0.07</v>
      </c>
      <c r="H8" s="3"/>
      <c r="I8" s="3"/>
      <c r="J8" s="3"/>
      <c r="K8" s="3"/>
      <c r="L8" s="4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14</v>
      </c>
      <c r="B9" s="8" t="s">
        <v>8</v>
      </c>
      <c r="C9" s="9">
        <v>20.0</v>
      </c>
      <c r="D9" s="10">
        <v>119.1</v>
      </c>
      <c r="E9" s="10">
        <v>1.1</v>
      </c>
      <c r="F9" s="10">
        <v>3.7</v>
      </c>
      <c r="G9" s="10">
        <v>10.36</v>
      </c>
      <c r="H9" s="3"/>
      <c r="I9" s="3"/>
      <c r="J9" s="3"/>
      <c r="K9" s="3"/>
      <c r="L9" s="4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15</v>
      </c>
      <c r="B10" s="8" t="s">
        <v>16</v>
      </c>
      <c r="C10" s="9">
        <v>200.0</v>
      </c>
      <c r="D10" s="10">
        <v>97.8</v>
      </c>
      <c r="E10" s="10">
        <v>9.8</v>
      </c>
      <c r="F10" s="10">
        <v>6.52</v>
      </c>
      <c r="G10" s="10">
        <v>8.8</v>
      </c>
      <c r="H10" s="3"/>
      <c r="I10" s="3"/>
      <c r="J10" s="3"/>
      <c r="K10" s="3"/>
      <c r="L10" s="4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4"/>
      <c r="E11" s="4"/>
      <c r="F11" s="4"/>
      <c r="G11" s="4"/>
      <c r="H11" s="3"/>
      <c r="I11" s="3"/>
      <c r="J11" s="3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15</v>
      </c>
      <c r="B12" s="8" t="s">
        <v>17</v>
      </c>
      <c r="C12" s="9">
        <v>125.0</v>
      </c>
      <c r="D12" s="10">
        <v>61.12</v>
      </c>
      <c r="E12" s="10">
        <v>6.12</v>
      </c>
      <c r="F12" s="10">
        <v>4.075</v>
      </c>
      <c r="G12" s="10">
        <v>5.5</v>
      </c>
      <c r="H12" s="3"/>
      <c r="I12" s="3"/>
      <c r="J12" s="3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18</v>
      </c>
      <c r="B13" s="8" t="s">
        <v>8</v>
      </c>
      <c r="C13" s="9">
        <v>10.0</v>
      </c>
      <c r="D13" s="10">
        <v>6.82</v>
      </c>
      <c r="E13" s="10">
        <v>2.39</v>
      </c>
      <c r="F13" s="10">
        <v>0.71</v>
      </c>
      <c r="G13" s="10">
        <v>6.2</v>
      </c>
      <c r="H13" s="3"/>
      <c r="I13" s="3"/>
      <c r="J13" s="3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19</v>
      </c>
      <c r="B14" s="8" t="s">
        <v>8</v>
      </c>
      <c r="C14" s="9">
        <v>10.0</v>
      </c>
      <c r="D14" s="10">
        <v>49.0</v>
      </c>
      <c r="E14" s="10">
        <v>4.2</v>
      </c>
      <c r="F14" s="10">
        <v>1.7</v>
      </c>
      <c r="G14" s="10">
        <v>3.1</v>
      </c>
      <c r="H14" s="3"/>
      <c r="I14" s="3"/>
      <c r="J14" s="3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20</v>
      </c>
      <c r="B15" s="8" t="s">
        <v>8</v>
      </c>
      <c r="C15" s="9">
        <v>50.0</v>
      </c>
      <c r="D15" s="10">
        <v>20.9</v>
      </c>
      <c r="E15" s="10">
        <v>4.09</v>
      </c>
      <c r="F15" s="10">
        <v>0.27</v>
      </c>
      <c r="G15" s="10">
        <v>0.28</v>
      </c>
      <c r="H15" s="3"/>
      <c r="I15" s="3"/>
      <c r="J15" s="3"/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14</v>
      </c>
      <c r="B16" s="8" t="s">
        <v>8</v>
      </c>
      <c r="C16" s="9">
        <v>20.0</v>
      </c>
      <c r="D16" s="10">
        <v>119.1</v>
      </c>
      <c r="E16" s="10">
        <v>1.1</v>
      </c>
      <c r="F16" s="10">
        <v>3.7</v>
      </c>
      <c r="G16" s="10">
        <v>10.36</v>
      </c>
      <c r="H16" s="3"/>
      <c r="I16" s="3"/>
      <c r="J16" s="3"/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4"/>
      <c r="E17" s="4"/>
      <c r="F17" s="4"/>
      <c r="G17" s="4"/>
      <c r="H17" s="3"/>
      <c r="I17" s="3"/>
      <c r="J17" s="3"/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15</v>
      </c>
      <c r="B18" s="8" t="s">
        <v>17</v>
      </c>
      <c r="C18" s="9">
        <v>125.0</v>
      </c>
      <c r="D18" s="10">
        <v>61.12</v>
      </c>
      <c r="E18" s="10">
        <v>6.12</v>
      </c>
      <c r="F18" s="10">
        <v>4.075</v>
      </c>
      <c r="G18" s="10">
        <v>5.5</v>
      </c>
      <c r="H18" s="3"/>
      <c r="I18" s="3"/>
      <c r="J18" s="3"/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18</v>
      </c>
      <c r="B19" s="8" t="s">
        <v>8</v>
      </c>
      <c r="C19" s="9">
        <v>10.0</v>
      </c>
      <c r="D19" s="10">
        <v>6.82</v>
      </c>
      <c r="E19" s="10">
        <v>2.39</v>
      </c>
      <c r="F19" s="10">
        <v>0.71</v>
      </c>
      <c r="G19" s="10">
        <v>6.2</v>
      </c>
      <c r="H19" s="3"/>
      <c r="I19" s="3"/>
      <c r="J19" s="3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19</v>
      </c>
      <c r="B20" s="8" t="s">
        <v>8</v>
      </c>
      <c r="C20" s="9">
        <v>10.0</v>
      </c>
      <c r="D20" s="10">
        <v>49.0</v>
      </c>
      <c r="E20" s="10">
        <v>4.2</v>
      </c>
      <c r="F20" s="10">
        <v>1.7</v>
      </c>
      <c r="G20" s="10">
        <v>3.1</v>
      </c>
      <c r="H20" s="3"/>
      <c r="I20" s="3"/>
      <c r="J20" s="3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21</v>
      </c>
      <c r="B21" s="8" t="s">
        <v>8</v>
      </c>
      <c r="C21" s="9">
        <v>50.0</v>
      </c>
      <c r="D21" s="10">
        <v>9.3</v>
      </c>
      <c r="E21" s="10">
        <v>1.9</v>
      </c>
      <c r="F21" s="10">
        <v>0.3</v>
      </c>
      <c r="G21" s="10">
        <v>0.07</v>
      </c>
      <c r="H21" s="3"/>
      <c r="I21" s="3"/>
      <c r="J21" s="3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14</v>
      </c>
      <c r="B22" s="8" t="s">
        <v>8</v>
      </c>
      <c r="C22" s="9">
        <v>20.0</v>
      </c>
      <c r="D22" s="10">
        <v>119.1</v>
      </c>
      <c r="E22" s="10">
        <v>1.1</v>
      </c>
      <c r="F22" s="10">
        <v>3.7</v>
      </c>
      <c r="G22" s="10">
        <v>10.36</v>
      </c>
      <c r="H22" s="3"/>
      <c r="I22" s="3"/>
      <c r="J22" s="3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/>
      <c r="B23" s="12"/>
      <c r="C23" s="13"/>
      <c r="D23" s="6"/>
      <c r="E23" s="6"/>
      <c r="F23" s="6"/>
      <c r="G23" s="6"/>
      <c r="H23" s="3"/>
      <c r="I23" s="3"/>
      <c r="J23" s="3"/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22</v>
      </c>
      <c r="B24" s="8" t="s">
        <v>23</v>
      </c>
      <c r="C24" s="9">
        <v>2.0</v>
      </c>
      <c r="D24" s="14">
        <v>264.0</v>
      </c>
      <c r="E24" s="14">
        <v>53.08</v>
      </c>
      <c r="F24" s="14">
        <v>9.27</v>
      </c>
      <c r="G24" s="14">
        <v>2.77</v>
      </c>
      <c r="H24" s="3"/>
      <c r="I24" s="3"/>
      <c r="J24" s="3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5" t="s">
        <v>24</v>
      </c>
      <c r="B25" s="8" t="s">
        <v>8</v>
      </c>
      <c r="C25" s="16">
        <v>60.0</v>
      </c>
      <c r="D25" s="14">
        <v>382.8</v>
      </c>
      <c r="E25" s="14">
        <v>12.6</v>
      </c>
      <c r="F25" s="14">
        <v>15.6</v>
      </c>
      <c r="G25" s="14">
        <v>30.0</v>
      </c>
      <c r="H25" s="3"/>
      <c r="I25" s="3"/>
      <c r="J25" s="3"/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7" t="s">
        <v>10</v>
      </c>
      <c r="B26" s="8" t="s">
        <v>23</v>
      </c>
      <c r="C26" s="16">
        <v>1.0</v>
      </c>
      <c r="D26" s="14">
        <v>53.5</v>
      </c>
      <c r="E26" s="14">
        <v>12.6</v>
      </c>
      <c r="F26" s="14">
        <v>0.62</v>
      </c>
      <c r="G26" s="14">
        <v>0.16</v>
      </c>
      <c r="H26" s="3"/>
      <c r="I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 t="s">
        <v>25</v>
      </c>
      <c r="B27" s="8" t="s">
        <v>8</v>
      </c>
      <c r="C27" s="18">
        <v>5.0</v>
      </c>
      <c r="D27" s="14">
        <v>45.0</v>
      </c>
      <c r="E27" s="19"/>
      <c r="F27" s="19"/>
      <c r="G27" s="14">
        <v>5.0</v>
      </c>
      <c r="H27" s="3"/>
      <c r="I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/>
      <c r="B28" s="12"/>
      <c r="C28" s="12"/>
      <c r="D28" s="6"/>
      <c r="E28" s="6"/>
      <c r="F28" s="6"/>
      <c r="G28" s="6"/>
      <c r="H28" s="3"/>
      <c r="I28" s="3"/>
      <c r="J28" s="3"/>
      <c r="K28" s="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 t="s">
        <v>26</v>
      </c>
      <c r="B29" s="8" t="s">
        <v>8</v>
      </c>
      <c r="C29" s="9">
        <v>350.0</v>
      </c>
      <c r="D29" s="10">
        <v>240.56</v>
      </c>
      <c r="E29" s="10">
        <v>50.12</v>
      </c>
      <c r="F29" s="10">
        <v>5.37</v>
      </c>
      <c r="G29" s="10">
        <v>1.44</v>
      </c>
      <c r="H29" s="3"/>
      <c r="I29" s="3"/>
      <c r="J29" s="3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7" t="s">
        <v>27</v>
      </c>
      <c r="B30" s="8" t="s">
        <v>17</v>
      </c>
      <c r="C30" s="9">
        <v>20.0</v>
      </c>
      <c r="D30" s="10">
        <v>11.5</v>
      </c>
      <c r="E30" s="10">
        <v>0.81</v>
      </c>
      <c r="F30" s="10">
        <v>0.76</v>
      </c>
      <c r="G30" s="10">
        <v>0.62</v>
      </c>
      <c r="H30" s="3"/>
      <c r="I30" s="3"/>
      <c r="J30" s="3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"/>
      <c r="B31" s="12"/>
      <c r="C31" s="12"/>
      <c r="D31" s="6"/>
      <c r="E31" s="6"/>
      <c r="F31" s="6"/>
      <c r="G31" s="6"/>
      <c r="H31" s="3"/>
      <c r="I31" s="3"/>
      <c r="J31" s="3"/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0"/>
      <c r="B32" s="20"/>
      <c r="C32" s="21"/>
      <c r="D32" s="4"/>
      <c r="E32" s="4"/>
      <c r="F32" s="4"/>
      <c r="G32" s="4"/>
      <c r="H32" s="3"/>
      <c r="I32" s="3"/>
      <c r="J32" s="3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28</v>
      </c>
      <c r="B33" s="8" t="s">
        <v>8</v>
      </c>
      <c r="C33" s="9">
        <v>150.0</v>
      </c>
      <c r="D33" s="10">
        <v>35.8</v>
      </c>
      <c r="E33" s="10">
        <v>6.24</v>
      </c>
      <c r="F33" s="10">
        <v>0.6</v>
      </c>
      <c r="G33" s="10">
        <v>0.24</v>
      </c>
      <c r="H33" s="3"/>
      <c r="I33" s="3"/>
      <c r="J33" s="3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4"/>
      <c r="E34" s="4"/>
      <c r="F34" s="4"/>
      <c r="G34" s="4"/>
      <c r="H34" s="3"/>
      <c r="I34" s="3"/>
      <c r="J34" s="3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7" t="s">
        <v>21</v>
      </c>
      <c r="B35" s="17" t="s">
        <v>8</v>
      </c>
      <c r="C35" s="16">
        <v>150.0</v>
      </c>
      <c r="D35" s="10">
        <v>28.16</v>
      </c>
      <c r="E35" s="10">
        <v>5.81</v>
      </c>
      <c r="F35" s="10">
        <v>0.9</v>
      </c>
      <c r="G35" s="10">
        <v>0.21</v>
      </c>
      <c r="H35" s="3"/>
      <c r="I35" s="3"/>
      <c r="J35" s="3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4"/>
      <c r="E36" s="4"/>
      <c r="F36" s="4"/>
      <c r="G36" s="4"/>
      <c r="H36" s="3"/>
      <c r="I36" s="3"/>
      <c r="J36" s="3"/>
      <c r="K36" s="3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12"/>
      <c r="C37" s="12"/>
      <c r="D37" s="6"/>
      <c r="E37" s="6"/>
      <c r="F37" s="6"/>
      <c r="G37" s="6"/>
      <c r="H37" s="3"/>
      <c r="I37" s="3"/>
      <c r="J37" s="3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28</v>
      </c>
      <c r="B38" s="17" t="s">
        <v>8</v>
      </c>
      <c r="C38" s="9">
        <v>100.0</v>
      </c>
      <c r="D38" s="10">
        <v>23.8</v>
      </c>
      <c r="E38" s="10">
        <v>4.16</v>
      </c>
      <c r="F38" s="10">
        <v>0.4</v>
      </c>
      <c r="G38" s="10">
        <v>0.16</v>
      </c>
      <c r="H38" s="3"/>
      <c r="I38" s="3"/>
      <c r="J38" s="3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7" t="s">
        <v>21</v>
      </c>
      <c r="B39" s="17" t="s">
        <v>8</v>
      </c>
      <c r="C39" s="9">
        <v>100.0</v>
      </c>
      <c r="D39" s="10">
        <v>18.7</v>
      </c>
      <c r="E39" s="10">
        <v>3.81</v>
      </c>
      <c r="F39" s="10">
        <v>0.6</v>
      </c>
      <c r="G39" s="10">
        <v>0.14</v>
      </c>
      <c r="H39" s="3"/>
      <c r="I39" s="3"/>
      <c r="J39" s="3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29</v>
      </c>
      <c r="B40" s="17" t="s">
        <v>8</v>
      </c>
      <c r="C40" s="9">
        <v>30.0</v>
      </c>
      <c r="D40" s="10">
        <v>7.18</v>
      </c>
      <c r="E40" s="10">
        <v>1.28</v>
      </c>
      <c r="F40" s="10">
        <v>0.13</v>
      </c>
      <c r="G40" s="10">
        <v>0.14</v>
      </c>
      <c r="H40" s="3"/>
      <c r="I40" s="3"/>
      <c r="J40" s="3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7" t="s">
        <v>30</v>
      </c>
      <c r="B41" s="17" t="s">
        <v>8</v>
      </c>
      <c r="C41" s="16">
        <v>30.0</v>
      </c>
      <c r="D41" s="10">
        <v>12.9</v>
      </c>
      <c r="E41" s="10">
        <v>2.78</v>
      </c>
      <c r="F41" s="10">
        <v>0.15</v>
      </c>
      <c r="G41" s="10">
        <v>0.12</v>
      </c>
      <c r="H41" s="3"/>
      <c r="I41" s="3"/>
      <c r="J41" s="3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2" t="s">
        <v>31</v>
      </c>
      <c r="B42" s="17" t="s">
        <v>8</v>
      </c>
      <c r="C42" s="10">
        <v>20.0</v>
      </c>
      <c r="D42" s="10">
        <v>18.0</v>
      </c>
      <c r="E42" s="10">
        <v>4.4</v>
      </c>
      <c r="F42" s="10">
        <v>0.4</v>
      </c>
      <c r="G42" s="10">
        <v>0.2</v>
      </c>
      <c r="H42" s="3"/>
      <c r="I42" s="3"/>
      <c r="J42" s="3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3"/>
      <c r="B43" s="23"/>
      <c r="C43" s="11"/>
      <c r="D43" s="4"/>
      <c r="E43" s="4"/>
      <c r="F43" s="4"/>
      <c r="G43" s="4"/>
      <c r="H43" s="3"/>
      <c r="I43" s="3"/>
      <c r="J43" s="3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3"/>
      <c r="I44" s="3"/>
      <c r="J44" s="3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32</v>
      </c>
      <c r="B45" s="8" t="s">
        <v>8</v>
      </c>
      <c r="C45" s="9">
        <v>250.0</v>
      </c>
      <c r="D45" s="10">
        <v>231.8</v>
      </c>
      <c r="E45" s="10">
        <v>65.2</v>
      </c>
      <c r="F45" s="10">
        <v>6.62</v>
      </c>
      <c r="G45" s="10">
        <v>0.48</v>
      </c>
      <c r="H45" s="3"/>
      <c r="I45" s="3"/>
      <c r="J45" s="3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33</v>
      </c>
      <c r="B46" s="8" t="s">
        <v>8</v>
      </c>
      <c r="C46" s="9">
        <v>30.0</v>
      </c>
      <c r="D46" s="10">
        <v>6.76</v>
      </c>
      <c r="E46" s="10">
        <v>0.86</v>
      </c>
      <c r="F46" s="10">
        <v>0.55</v>
      </c>
      <c r="G46" s="10">
        <v>0.11</v>
      </c>
      <c r="H46" s="3"/>
      <c r="I46" s="3"/>
      <c r="J46" s="3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7" t="s">
        <v>34</v>
      </c>
      <c r="B47" s="8" t="s">
        <v>8</v>
      </c>
      <c r="C47" s="9">
        <v>30.0</v>
      </c>
      <c r="D47" s="10">
        <v>17.07</v>
      </c>
      <c r="E47" s="10">
        <v>2.74</v>
      </c>
      <c r="F47" s="10">
        <v>2.29</v>
      </c>
      <c r="G47" s="10">
        <v>0.25</v>
      </c>
      <c r="H47" s="3"/>
      <c r="I47" s="3"/>
      <c r="J47" s="3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35</v>
      </c>
      <c r="B48" s="8" t="s">
        <v>8</v>
      </c>
      <c r="C48" s="9">
        <v>60.0</v>
      </c>
      <c r="D48" s="10">
        <v>100.9</v>
      </c>
      <c r="E48" s="10">
        <v>0.2</v>
      </c>
      <c r="F48" s="10">
        <v>13.67</v>
      </c>
      <c r="G48" s="10">
        <v>5.4</v>
      </c>
      <c r="H48" s="3"/>
      <c r="I48" s="3"/>
      <c r="J48" s="3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7" t="s">
        <v>36</v>
      </c>
      <c r="B49" s="17" t="s">
        <v>8</v>
      </c>
      <c r="C49" s="16">
        <v>50.0</v>
      </c>
      <c r="D49" s="10">
        <v>74.8</v>
      </c>
      <c r="E49" s="10">
        <v>12.15</v>
      </c>
      <c r="F49" s="10">
        <v>4.98</v>
      </c>
      <c r="G49" s="10">
        <v>0.44</v>
      </c>
      <c r="H49" s="3"/>
      <c r="I49" s="3"/>
      <c r="J49" s="3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2" t="s">
        <v>37</v>
      </c>
      <c r="B50" s="22" t="s">
        <v>8</v>
      </c>
      <c r="C50" s="10">
        <v>2.0</v>
      </c>
      <c r="D50" s="10">
        <v>18.0</v>
      </c>
      <c r="E50" s="4"/>
      <c r="F50" s="4"/>
      <c r="G50" s="10">
        <v>2.0</v>
      </c>
      <c r="H50" s="3"/>
      <c r="I50" s="3"/>
      <c r="J50" s="3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3"/>
      <c r="I51" s="3"/>
      <c r="J51" s="3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 t="s">
        <v>32</v>
      </c>
      <c r="B52" s="17" t="s">
        <v>8</v>
      </c>
      <c r="C52" s="16">
        <v>250.0</v>
      </c>
      <c r="D52" s="10">
        <v>231.8</v>
      </c>
      <c r="E52" s="10">
        <v>65.2</v>
      </c>
      <c r="F52" s="10">
        <v>6.62</v>
      </c>
      <c r="G52" s="10">
        <v>0.48</v>
      </c>
      <c r="H52" s="3"/>
      <c r="I52" s="3"/>
      <c r="J52" s="3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33</v>
      </c>
      <c r="B53" s="17" t="s">
        <v>8</v>
      </c>
      <c r="C53" s="16">
        <v>30.0</v>
      </c>
      <c r="D53" s="10">
        <v>6.76</v>
      </c>
      <c r="E53" s="10">
        <v>0.86</v>
      </c>
      <c r="F53" s="10">
        <v>0.55</v>
      </c>
      <c r="G53" s="10">
        <v>0.11</v>
      </c>
      <c r="H53" s="3"/>
      <c r="I53" s="3"/>
      <c r="J53" s="3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38</v>
      </c>
      <c r="B54" s="17" t="s">
        <v>8</v>
      </c>
      <c r="C54" s="16">
        <v>30.0</v>
      </c>
      <c r="D54" s="10">
        <v>17.07</v>
      </c>
      <c r="E54" s="10">
        <v>2.74</v>
      </c>
      <c r="F54" s="10">
        <v>2.29</v>
      </c>
      <c r="G54" s="10">
        <v>0.25</v>
      </c>
      <c r="H54" s="3"/>
      <c r="I54" s="3"/>
      <c r="J54" s="3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7" t="s">
        <v>39</v>
      </c>
      <c r="B55" s="17" t="s">
        <v>8</v>
      </c>
      <c r="C55" s="16">
        <v>60.0</v>
      </c>
      <c r="D55" s="10">
        <v>183.27</v>
      </c>
      <c r="E55" s="10">
        <v>1.44</v>
      </c>
      <c r="F55" s="10">
        <v>11.31</v>
      </c>
      <c r="G55" s="10">
        <v>14.86</v>
      </c>
      <c r="H55" s="3"/>
      <c r="I55" s="3"/>
      <c r="J55" s="3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7" t="s">
        <v>36</v>
      </c>
      <c r="B56" s="17" t="s">
        <v>8</v>
      </c>
      <c r="C56" s="16">
        <v>50.0</v>
      </c>
      <c r="D56" s="10">
        <v>74.8</v>
      </c>
      <c r="E56" s="10">
        <v>12.15</v>
      </c>
      <c r="F56" s="10">
        <v>4.98</v>
      </c>
      <c r="G56" s="10">
        <v>0.44</v>
      </c>
      <c r="H56" s="3"/>
      <c r="I56" s="3"/>
      <c r="J56" s="3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2" t="s">
        <v>37</v>
      </c>
      <c r="B57" s="22" t="s">
        <v>8</v>
      </c>
      <c r="C57" s="10">
        <v>2.0</v>
      </c>
      <c r="D57" s="10">
        <v>18.0</v>
      </c>
      <c r="E57" s="4"/>
      <c r="F57" s="4"/>
      <c r="G57" s="10">
        <v>2.0</v>
      </c>
      <c r="H57" s="3"/>
      <c r="I57" s="3"/>
      <c r="J57" s="3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"/>
      <c r="B58" s="12"/>
      <c r="C58" s="12"/>
      <c r="D58" s="6"/>
      <c r="E58" s="6"/>
      <c r="F58" s="6"/>
      <c r="G58" s="6"/>
      <c r="H58" s="3"/>
      <c r="I58" s="3"/>
      <c r="J58" s="3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32</v>
      </c>
      <c r="B59" s="17" t="s">
        <v>8</v>
      </c>
      <c r="C59" s="16">
        <v>250.0</v>
      </c>
      <c r="D59" s="10">
        <v>231.8</v>
      </c>
      <c r="E59" s="10">
        <v>65.2</v>
      </c>
      <c r="F59" s="10">
        <v>6.62</v>
      </c>
      <c r="G59" s="10">
        <v>0.48</v>
      </c>
      <c r="H59" s="3"/>
      <c r="I59" s="3"/>
      <c r="J59" s="3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 t="s">
        <v>33</v>
      </c>
      <c r="B60" s="17" t="s">
        <v>8</v>
      </c>
      <c r="C60" s="16">
        <v>30.0</v>
      </c>
      <c r="D60" s="10">
        <v>6.76</v>
      </c>
      <c r="E60" s="10">
        <v>0.86</v>
      </c>
      <c r="F60" s="10">
        <v>0.55</v>
      </c>
      <c r="G60" s="10">
        <v>0.11</v>
      </c>
      <c r="H60" s="3"/>
      <c r="I60" s="3"/>
      <c r="J60" s="3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38</v>
      </c>
      <c r="B61" s="17" t="s">
        <v>8</v>
      </c>
      <c r="C61" s="16">
        <v>30.0</v>
      </c>
      <c r="D61" s="10">
        <v>17.07</v>
      </c>
      <c r="E61" s="10">
        <v>2.74</v>
      </c>
      <c r="F61" s="10">
        <v>2.29</v>
      </c>
      <c r="G61" s="10">
        <v>0.25</v>
      </c>
      <c r="H61" s="3"/>
      <c r="I61" s="3"/>
      <c r="J61" s="3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7" t="s">
        <v>40</v>
      </c>
      <c r="B62" s="17" t="s">
        <v>8</v>
      </c>
      <c r="C62" s="16">
        <v>60.0</v>
      </c>
      <c r="D62" s="10">
        <v>81.9</v>
      </c>
      <c r="E62" s="10">
        <v>7.9</v>
      </c>
      <c r="F62" s="10">
        <v>12.5</v>
      </c>
      <c r="G62" s="10">
        <v>0.1</v>
      </c>
      <c r="H62" s="3"/>
      <c r="I62" s="3"/>
      <c r="J62" s="3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7" t="s">
        <v>36</v>
      </c>
      <c r="B63" s="17" t="s">
        <v>8</v>
      </c>
      <c r="C63" s="16">
        <v>50.0</v>
      </c>
      <c r="D63" s="10">
        <v>74.8</v>
      </c>
      <c r="E63" s="10">
        <v>12.15</v>
      </c>
      <c r="F63" s="10">
        <v>4.98</v>
      </c>
      <c r="G63" s="10">
        <v>0.44</v>
      </c>
      <c r="H63" s="3"/>
      <c r="I63" s="3"/>
      <c r="J63" s="3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2" t="s">
        <v>37</v>
      </c>
      <c r="B64" s="22" t="s">
        <v>8</v>
      </c>
      <c r="C64" s="10">
        <v>2.0</v>
      </c>
      <c r="D64" s="10">
        <v>18.0</v>
      </c>
      <c r="E64" s="4"/>
      <c r="F64" s="4"/>
      <c r="G64" s="10">
        <v>2.0</v>
      </c>
      <c r="H64" s="3"/>
      <c r="I64" s="3"/>
      <c r="J64" s="3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6"/>
      <c r="B65" s="12"/>
      <c r="C65" s="12"/>
      <c r="D65" s="6"/>
      <c r="E65" s="6"/>
      <c r="F65" s="6"/>
      <c r="G65" s="6"/>
      <c r="H65" s="3"/>
      <c r="I65" s="3"/>
      <c r="J65" s="3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 t="s">
        <v>32</v>
      </c>
      <c r="B66" s="17" t="s">
        <v>8</v>
      </c>
      <c r="C66" s="16">
        <v>250.0</v>
      </c>
      <c r="D66" s="10">
        <v>231.8</v>
      </c>
      <c r="E66" s="10">
        <v>65.2</v>
      </c>
      <c r="F66" s="10">
        <v>6.62</v>
      </c>
      <c r="G66" s="10">
        <v>0.48</v>
      </c>
      <c r="H66" s="3"/>
      <c r="I66" s="3"/>
      <c r="J66" s="3"/>
      <c r="K66" s="3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8" t="s">
        <v>33</v>
      </c>
      <c r="B67" s="17" t="s">
        <v>8</v>
      </c>
      <c r="C67" s="16">
        <v>30.0</v>
      </c>
      <c r="D67" s="10">
        <v>6.76</v>
      </c>
      <c r="E67" s="10">
        <v>0.86</v>
      </c>
      <c r="F67" s="10">
        <v>0.55</v>
      </c>
      <c r="G67" s="10">
        <v>0.11</v>
      </c>
      <c r="H67" s="3"/>
      <c r="I67" s="3"/>
      <c r="J67" s="3"/>
      <c r="K67" s="3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8" t="s">
        <v>38</v>
      </c>
      <c r="B68" s="17" t="s">
        <v>8</v>
      </c>
      <c r="C68" s="16">
        <v>30.0</v>
      </c>
      <c r="D68" s="10">
        <v>17.07</v>
      </c>
      <c r="E68" s="10">
        <v>2.74</v>
      </c>
      <c r="F68" s="10">
        <v>2.29</v>
      </c>
      <c r="G68" s="10">
        <v>0.25</v>
      </c>
      <c r="H68" s="3"/>
      <c r="I68" s="3"/>
      <c r="J68" s="3"/>
      <c r="K68" s="3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17" t="s">
        <v>36</v>
      </c>
      <c r="B69" s="17" t="s">
        <v>8</v>
      </c>
      <c r="C69" s="16">
        <v>50.0</v>
      </c>
      <c r="D69" s="10">
        <v>74.8</v>
      </c>
      <c r="E69" s="10">
        <v>12.15</v>
      </c>
      <c r="F69" s="10">
        <v>4.98</v>
      </c>
      <c r="G69" s="10">
        <v>0.44</v>
      </c>
      <c r="H69" s="3"/>
      <c r="I69" s="3"/>
      <c r="J69" s="3"/>
      <c r="K69" s="3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2" t="s">
        <v>37</v>
      </c>
      <c r="B70" s="22" t="s">
        <v>8</v>
      </c>
      <c r="C70" s="10">
        <v>2.0</v>
      </c>
      <c r="D70" s="10">
        <v>18.0</v>
      </c>
      <c r="E70" s="25"/>
      <c r="F70" s="25"/>
      <c r="G70" s="10">
        <v>2.0</v>
      </c>
      <c r="H70" s="3"/>
      <c r="I70" s="3"/>
      <c r="J70" s="3"/>
      <c r="K70" s="3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6"/>
      <c r="C71" s="26"/>
      <c r="D71" s="25"/>
      <c r="E71" s="25"/>
      <c r="F71" s="25"/>
      <c r="G71" s="25"/>
      <c r="H71" s="3"/>
      <c r="I71" s="3"/>
      <c r="J71" s="3"/>
      <c r="K71" s="3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6"/>
      <c r="B72" s="12"/>
      <c r="C72" s="12"/>
      <c r="D72" s="6"/>
      <c r="E72" s="6"/>
      <c r="F72" s="6"/>
      <c r="G72" s="6"/>
      <c r="H72" s="3"/>
      <c r="I72" s="3"/>
      <c r="J72" s="3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7" t="s">
        <v>33</v>
      </c>
      <c r="B73" s="17" t="s">
        <v>8</v>
      </c>
      <c r="C73" s="16">
        <v>30.0</v>
      </c>
      <c r="D73" s="10">
        <v>6.76</v>
      </c>
      <c r="E73" s="10">
        <v>0.86</v>
      </c>
      <c r="F73" s="10">
        <v>0.55</v>
      </c>
      <c r="G73" s="10">
        <v>0.11</v>
      </c>
      <c r="H73" s="3"/>
      <c r="I73" s="3"/>
      <c r="J73" s="3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7" t="s">
        <v>41</v>
      </c>
      <c r="B74" s="17" t="s">
        <v>8</v>
      </c>
      <c r="C74" s="16">
        <v>60.0</v>
      </c>
      <c r="D74" s="10">
        <v>100.9</v>
      </c>
      <c r="E74" s="10">
        <v>0.2</v>
      </c>
      <c r="F74" s="10">
        <v>13.67</v>
      </c>
      <c r="G74" s="10">
        <v>5.4</v>
      </c>
      <c r="H74" s="3"/>
      <c r="I74" s="3"/>
      <c r="J74" s="3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7" t="s">
        <v>34</v>
      </c>
      <c r="B75" s="17" t="s">
        <v>8</v>
      </c>
      <c r="C75" s="16">
        <v>30.0</v>
      </c>
      <c r="D75" s="10">
        <v>17.07</v>
      </c>
      <c r="E75" s="10">
        <v>2.74</v>
      </c>
      <c r="F75" s="10">
        <v>2.29</v>
      </c>
      <c r="G75" s="10">
        <v>0.25</v>
      </c>
      <c r="H75" s="3"/>
      <c r="I75" s="3"/>
      <c r="J75" s="3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7" t="s">
        <v>42</v>
      </c>
      <c r="B76" s="17" t="s">
        <v>8</v>
      </c>
      <c r="C76" s="16">
        <v>60.0</v>
      </c>
      <c r="D76" s="10">
        <v>13.08</v>
      </c>
      <c r="E76" s="10">
        <v>7.81</v>
      </c>
      <c r="F76" s="10">
        <v>0.92</v>
      </c>
      <c r="G76" s="10">
        <v>0.16</v>
      </c>
      <c r="H76" s="3"/>
      <c r="I76" s="3"/>
      <c r="J76" s="3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7" t="s">
        <v>43</v>
      </c>
      <c r="B77" s="17" t="s">
        <v>8</v>
      </c>
      <c r="C77" s="16">
        <v>50.0</v>
      </c>
      <c r="D77" s="10">
        <v>28.7</v>
      </c>
      <c r="E77" s="10">
        <v>1.98</v>
      </c>
      <c r="F77" s="10">
        <v>1.9</v>
      </c>
      <c r="G77" s="10">
        <v>1.56</v>
      </c>
      <c r="H77" s="3"/>
      <c r="I77" s="3"/>
      <c r="J77" s="3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3"/>
      <c r="I78" s="3"/>
      <c r="J78" s="3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7" t="s">
        <v>33</v>
      </c>
      <c r="B79" s="17" t="s">
        <v>8</v>
      </c>
      <c r="C79" s="16">
        <v>30.0</v>
      </c>
      <c r="D79" s="10">
        <v>6.76</v>
      </c>
      <c r="E79" s="10">
        <v>0.86</v>
      </c>
      <c r="F79" s="10">
        <v>0.55</v>
      </c>
      <c r="G79" s="10">
        <v>0.11</v>
      </c>
      <c r="H79" s="3"/>
      <c r="I79" s="3"/>
      <c r="J79" s="3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7" t="s">
        <v>39</v>
      </c>
      <c r="B80" s="17" t="s">
        <v>8</v>
      </c>
      <c r="C80" s="16">
        <v>60.0</v>
      </c>
      <c r="D80" s="10">
        <v>183.27</v>
      </c>
      <c r="E80" s="10">
        <v>1.44</v>
      </c>
      <c r="F80" s="10">
        <v>11.31</v>
      </c>
      <c r="G80" s="10">
        <v>14.86</v>
      </c>
      <c r="H80" s="3"/>
      <c r="I80" s="3"/>
      <c r="J80" s="3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7" t="s">
        <v>34</v>
      </c>
      <c r="B81" s="17" t="s">
        <v>8</v>
      </c>
      <c r="C81" s="16">
        <v>30.0</v>
      </c>
      <c r="D81" s="10">
        <v>17.07</v>
      </c>
      <c r="E81" s="10">
        <v>2.74</v>
      </c>
      <c r="F81" s="10">
        <v>2.29</v>
      </c>
      <c r="G81" s="10">
        <v>0.25</v>
      </c>
      <c r="H81" s="3"/>
      <c r="I81" s="3"/>
      <c r="J81" s="3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7" t="s">
        <v>42</v>
      </c>
      <c r="B82" s="17" t="s">
        <v>8</v>
      </c>
      <c r="C82" s="16">
        <v>60.0</v>
      </c>
      <c r="D82" s="10">
        <v>13.08</v>
      </c>
      <c r="E82" s="10">
        <v>7.81</v>
      </c>
      <c r="F82" s="10">
        <v>0.92</v>
      </c>
      <c r="G82" s="10">
        <v>0.16</v>
      </c>
      <c r="H82" s="3"/>
      <c r="I82" s="3"/>
      <c r="J82" s="3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7" t="s">
        <v>43</v>
      </c>
      <c r="B83" s="17" t="s">
        <v>8</v>
      </c>
      <c r="C83" s="16">
        <v>50.0</v>
      </c>
      <c r="D83" s="10">
        <v>28.7</v>
      </c>
      <c r="E83" s="10">
        <v>1.98</v>
      </c>
      <c r="F83" s="10">
        <v>1.9</v>
      </c>
      <c r="G83" s="10">
        <v>1.56</v>
      </c>
      <c r="H83" s="3"/>
      <c r="I83" s="3"/>
      <c r="J83" s="3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3"/>
      <c r="I84" s="3"/>
      <c r="J84" s="3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7" t="s">
        <v>33</v>
      </c>
      <c r="B85" s="17" t="s">
        <v>8</v>
      </c>
      <c r="C85" s="16">
        <v>30.0</v>
      </c>
      <c r="D85" s="10">
        <v>6.76</v>
      </c>
      <c r="E85" s="10">
        <v>0.86</v>
      </c>
      <c r="F85" s="10">
        <v>0.55</v>
      </c>
      <c r="G85" s="10">
        <v>0.11</v>
      </c>
      <c r="H85" s="3"/>
      <c r="I85" s="3"/>
      <c r="J85" s="3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7" t="s">
        <v>40</v>
      </c>
      <c r="B86" s="17" t="s">
        <v>8</v>
      </c>
      <c r="C86" s="16">
        <v>60.0</v>
      </c>
      <c r="D86" s="10">
        <v>81.9</v>
      </c>
      <c r="E86" s="10">
        <v>7.9</v>
      </c>
      <c r="F86" s="10">
        <v>12.5</v>
      </c>
      <c r="G86" s="10">
        <v>0.1</v>
      </c>
      <c r="H86" s="3"/>
      <c r="I86" s="3"/>
      <c r="J86" s="3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7" t="s">
        <v>34</v>
      </c>
      <c r="B87" s="17" t="s">
        <v>8</v>
      </c>
      <c r="C87" s="16">
        <v>30.0</v>
      </c>
      <c r="D87" s="10">
        <v>17.07</v>
      </c>
      <c r="E87" s="10">
        <v>2.74</v>
      </c>
      <c r="F87" s="10">
        <v>2.29</v>
      </c>
      <c r="G87" s="10">
        <v>0.25</v>
      </c>
      <c r="H87" s="3"/>
      <c r="I87" s="3"/>
      <c r="J87" s="3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7" t="s">
        <v>42</v>
      </c>
      <c r="B88" s="17" t="s">
        <v>8</v>
      </c>
      <c r="C88" s="16">
        <v>60.0</v>
      </c>
      <c r="D88" s="10">
        <v>13.08</v>
      </c>
      <c r="E88" s="10">
        <v>7.81</v>
      </c>
      <c r="F88" s="10">
        <v>0.92</v>
      </c>
      <c r="G88" s="10">
        <v>0.16</v>
      </c>
      <c r="H88" s="3"/>
      <c r="I88" s="3"/>
      <c r="J88" s="3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7" t="s">
        <v>43</v>
      </c>
      <c r="B89" s="17" t="s">
        <v>8</v>
      </c>
      <c r="C89" s="16">
        <v>50.0</v>
      </c>
      <c r="D89" s="10">
        <v>28.7</v>
      </c>
      <c r="E89" s="10">
        <v>1.98</v>
      </c>
      <c r="F89" s="10">
        <v>1.9</v>
      </c>
      <c r="G89" s="10">
        <v>1.56</v>
      </c>
      <c r="H89" s="3"/>
      <c r="I89" s="3"/>
      <c r="J89" s="3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3"/>
      <c r="I90" s="3"/>
      <c r="J90" s="3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3"/>
      <c r="I91" s="3"/>
      <c r="J91" s="3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7" t="s">
        <v>41</v>
      </c>
      <c r="B92" s="17" t="s">
        <v>8</v>
      </c>
      <c r="C92" s="16">
        <v>60.0</v>
      </c>
      <c r="D92" s="10">
        <v>100.9</v>
      </c>
      <c r="E92" s="10">
        <v>0.2</v>
      </c>
      <c r="F92" s="10">
        <v>13.66</v>
      </c>
      <c r="G92" s="10">
        <v>5.4</v>
      </c>
      <c r="H92" s="3"/>
      <c r="I92" s="3"/>
      <c r="J92" s="3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7" t="s">
        <v>44</v>
      </c>
      <c r="B93" s="17" t="s">
        <v>45</v>
      </c>
      <c r="C93" s="16">
        <v>1.0</v>
      </c>
      <c r="D93" s="10">
        <v>181.0</v>
      </c>
      <c r="E93" s="10">
        <v>31.3</v>
      </c>
      <c r="F93" s="10">
        <v>6.4</v>
      </c>
      <c r="G93" s="10">
        <v>3.5</v>
      </c>
      <c r="H93" s="3"/>
      <c r="I93" s="3"/>
      <c r="J93" s="3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7" t="s">
        <v>43</v>
      </c>
      <c r="B94" s="17" t="s">
        <v>8</v>
      </c>
      <c r="C94" s="16">
        <v>30.0</v>
      </c>
      <c r="D94" s="10">
        <v>17.2</v>
      </c>
      <c r="E94" s="10">
        <v>1.19</v>
      </c>
      <c r="F94" s="10">
        <v>1.14</v>
      </c>
      <c r="G94" s="10">
        <v>0.94</v>
      </c>
      <c r="H94" s="3"/>
      <c r="I94" s="3"/>
      <c r="J94" s="3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7" t="s">
        <v>33</v>
      </c>
      <c r="B95" s="17" t="s">
        <v>8</v>
      </c>
      <c r="C95" s="16">
        <v>30.0</v>
      </c>
      <c r="D95" s="10">
        <v>6.76</v>
      </c>
      <c r="E95" s="10">
        <v>0.86</v>
      </c>
      <c r="F95" s="10">
        <v>0.55</v>
      </c>
      <c r="G95" s="10">
        <v>0.11</v>
      </c>
      <c r="H95" s="3"/>
      <c r="I95" s="3"/>
      <c r="J95" s="3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7" t="s">
        <v>34</v>
      </c>
      <c r="B96" s="17" t="s">
        <v>8</v>
      </c>
      <c r="C96" s="16">
        <v>30.0</v>
      </c>
      <c r="D96" s="10">
        <v>17.07</v>
      </c>
      <c r="E96" s="10">
        <v>2.74</v>
      </c>
      <c r="F96" s="10">
        <v>2.29</v>
      </c>
      <c r="G96" s="10">
        <v>0.25</v>
      </c>
      <c r="H96" s="3"/>
      <c r="I96" s="3"/>
      <c r="J96" s="3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7" t="s">
        <v>42</v>
      </c>
      <c r="B97" s="17" t="s">
        <v>8</v>
      </c>
      <c r="C97" s="16">
        <v>20.0</v>
      </c>
      <c r="D97" s="10">
        <v>4.34</v>
      </c>
      <c r="E97" s="10">
        <v>2.6</v>
      </c>
      <c r="F97" s="10">
        <v>0.31</v>
      </c>
      <c r="G97" s="10">
        <v>0.05</v>
      </c>
      <c r="H97" s="3"/>
      <c r="I97" s="3"/>
      <c r="J97" s="3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3"/>
      <c r="I98" s="3"/>
      <c r="J98" s="3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7" t="s">
        <v>39</v>
      </c>
      <c r="B99" s="17" t="s">
        <v>8</v>
      </c>
      <c r="C99" s="16">
        <v>60.0</v>
      </c>
      <c r="D99" s="10">
        <v>183.27</v>
      </c>
      <c r="E99" s="10">
        <v>1.44</v>
      </c>
      <c r="F99" s="10">
        <v>11.31</v>
      </c>
      <c r="G99" s="10">
        <v>14.86</v>
      </c>
      <c r="H99" s="3"/>
      <c r="I99" s="3"/>
      <c r="J99" s="3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7" t="s">
        <v>44</v>
      </c>
      <c r="B100" s="17" t="s">
        <v>45</v>
      </c>
      <c r="C100" s="16">
        <v>1.0</v>
      </c>
      <c r="D100" s="10">
        <v>181.0</v>
      </c>
      <c r="E100" s="10">
        <v>31.3</v>
      </c>
      <c r="F100" s="10">
        <v>6.4</v>
      </c>
      <c r="G100" s="10">
        <v>3.5</v>
      </c>
      <c r="H100" s="3"/>
      <c r="I100" s="3"/>
      <c r="J100" s="3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7" t="s">
        <v>43</v>
      </c>
      <c r="B101" s="17" t="s">
        <v>8</v>
      </c>
      <c r="C101" s="16">
        <v>30.0</v>
      </c>
      <c r="D101" s="10">
        <v>17.2</v>
      </c>
      <c r="E101" s="10">
        <v>1.19</v>
      </c>
      <c r="F101" s="10">
        <v>1.14</v>
      </c>
      <c r="G101" s="10">
        <v>0.94</v>
      </c>
      <c r="H101" s="3"/>
      <c r="I101" s="3"/>
      <c r="J101" s="3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7" t="s">
        <v>33</v>
      </c>
      <c r="B102" s="17" t="s">
        <v>8</v>
      </c>
      <c r="C102" s="16">
        <v>30.0</v>
      </c>
      <c r="D102" s="10">
        <v>6.76</v>
      </c>
      <c r="E102" s="10">
        <v>0.86</v>
      </c>
      <c r="F102" s="10">
        <v>0.55</v>
      </c>
      <c r="G102" s="10">
        <v>0.11</v>
      </c>
      <c r="H102" s="3"/>
      <c r="I102" s="3"/>
      <c r="J102" s="3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7" t="s">
        <v>34</v>
      </c>
      <c r="B103" s="17" t="s">
        <v>8</v>
      </c>
      <c r="C103" s="16">
        <v>30.0</v>
      </c>
      <c r="D103" s="10">
        <v>17.07</v>
      </c>
      <c r="E103" s="10">
        <v>2.74</v>
      </c>
      <c r="F103" s="10">
        <v>2.29</v>
      </c>
      <c r="G103" s="10">
        <v>0.25</v>
      </c>
      <c r="H103" s="3"/>
      <c r="I103" s="3"/>
      <c r="J103" s="3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7" t="s">
        <v>42</v>
      </c>
      <c r="B104" s="17" t="s">
        <v>8</v>
      </c>
      <c r="C104" s="16">
        <v>20.0</v>
      </c>
      <c r="D104" s="10">
        <v>4.34</v>
      </c>
      <c r="E104" s="10">
        <v>2.6</v>
      </c>
      <c r="F104" s="10">
        <v>0.31</v>
      </c>
      <c r="G104" s="10">
        <v>0.05</v>
      </c>
      <c r="H104" s="3"/>
      <c r="I104" s="3"/>
      <c r="J104" s="3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3"/>
      <c r="I105" s="3"/>
      <c r="J105" s="3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7" t="s">
        <v>40</v>
      </c>
      <c r="B106" s="17" t="s">
        <v>8</v>
      </c>
      <c r="C106" s="16">
        <v>60.0</v>
      </c>
      <c r="D106" s="10">
        <v>81.9</v>
      </c>
      <c r="E106" s="10">
        <v>7.9</v>
      </c>
      <c r="F106" s="10">
        <v>12.5</v>
      </c>
      <c r="G106" s="10">
        <v>0.1</v>
      </c>
      <c r="H106" s="3"/>
      <c r="I106" s="3"/>
      <c r="J106" s="3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7" t="s">
        <v>44</v>
      </c>
      <c r="B107" s="17" t="s">
        <v>45</v>
      </c>
      <c r="C107" s="16">
        <v>1.0</v>
      </c>
      <c r="D107" s="10">
        <v>181.0</v>
      </c>
      <c r="E107" s="10">
        <v>31.3</v>
      </c>
      <c r="F107" s="10">
        <v>6.4</v>
      </c>
      <c r="G107" s="10">
        <v>3.5</v>
      </c>
      <c r="H107" s="3"/>
      <c r="I107" s="3"/>
      <c r="J107" s="3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7" t="s">
        <v>43</v>
      </c>
      <c r="B108" s="17" t="s">
        <v>8</v>
      </c>
      <c r="C108" s="16">
        <v>30.0</v>
      </c>
      <c r="D108" s="10">
        <v>17.2</v>
      </c>
      <c r="E108" s="10">
        <v>1.19</v>
      </c>
      <c r="F108" s="10">
        <v>1.14</v>
      </c>
      <c r="G108" s="10">
        <v>0.94</v>
      </c>
      <c r="H108" s="3"/>
      <c r="I108" s="3"/>
      <c r="J108" s="3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7" t="s">
        <v>33</v>
      </c>
      <c r="B109" s="17" t="s">
        <v>8</v>
      </c>
      <c r="C109" s="16">
        <v>30.0</v>
      </c>
      <c r="D109" s="10">
        <v>6.76</v>
      </c>
      <c r="E109" s="10">
        <v>0.86</v>
      </c>
      <c r="F109" s="10">
        <v>0.55</v>
      </c>
      <c r="G109" s="10">
        <v>0.11</v>
      </c>
      <c r="H109" s="3"/>
      <c r="I109" s="3"/>
      <c r="J109" s="3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7" t="s">
        <v>34</v>
      </c>
      <c r="B110" s="17" t="s">
        <v>8</v>
      </c>
      <c r="C110" s="16">
        <v>30.0</v>
      </c>
      <c r="D110" s="10">
        <v>17.07</v>
      </c>
      <c r="E110" s="10">
        <v>2.74</v>
      </c>
      <c r="F110" s="10">
        <v>2.29</v>
      </c>
      <c r="G110" s="10">
        <v>0.25</v>
      </c>
      <c r="H110" s="3"/>
      <c r="I110" s="3"/>
      <c r="J110" s="3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7" t="s">
        <v>42</v>
      </c>
      <c r="B111" s="17" t="s">
        <v>8</v>
      </c>
      <c r="C111" s="16">
        <v>20.0</v>
      </c>
      <c r="D111" s="10">
        <v>4.34</v>
      </c>
      <c r="E111" s="10">
        <v>2.6</v>
      </c>
      <c r="F111" s="10">
        <v>0.31</v>
      </c>
      <c r="G111" s="10">
        <v>0.05</v>
      </c>
      <c r="H111" s="3"/>
      <c r="I111" s="3"/>
      <c r="J111" s="3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3"/>
      <c r="I112" s="3"/>
      <c r="J112" s="3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3"/>
      <c r="I113" s="3"/>
      <c r="J113" s="3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7" t="s">
        <v>46</v>
      </c>
      <c r="B114" s="8" t="s">
        <v>8</v>
      </c>
      <c r="C114" s="9">
        <v>15.0</v>
      </c>
      <c r="D114" s="14">
        <v>8.49</v>
      </c>
      <c r="E114" s="14">
        <v>1.73</v>
      </c>
      <c r="F114" s="14">
        <v>0.27</v>
      </c>
      <c r="G114" s="14">
        <v>0.02</v>
      </c>
      <c r="H114" s="3"/>
      <c r="I114" s="3"/>
      <c r="J114" s="3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7" t="s">
        <v>47</v>
      </c>
      <c r="B115" s="8" t="s">
        <v>8</v>
      </c>
      <c r="C115" s="9">
        <v>10.0</v>
      </c>
      <c r="D115" s="14">
        <v>1.95</v>
      </c>
      <c r="E115" s="14">
        <v>0.27</v>
      </c>
      <c r="F115" s="14">
        <v>0.09</v>
      </c>
      <c r="G115" s="14">
        <v>0.04</v>
      </c>
      <c r="H115" s="3"/>
      <c r="I115" s="3"/>
      <c r="J115" s="3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7" t="s">
        <v>48</v>
      </c>
      <c r="B116" s="8" t="s">
        <v>8</v>
      </c>
      <c r="C116" s="9">
        <v>10.0</v>
      </c>
      <c r="D116" s="14">
        <v>1.62</v>
      </c>
      <c r="E116" s="14">
        <v>0.18</v>
      </c>
      <c r="F116" s="14">
        <v>0.12</v>
      </c>
      <c r="G116" s="14">
        <v>0.03</v>
      </c>
      <c r="H116" s="3"/>
      <c r="I116" s="3"/>
      <c r="J116" s="3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7" t="s">
        <v>42</v>
      </c>
      <c r="B117" s="8" t="s">
        <v>8</v>
      </c>
      <c r="C117" s="14">
        <v>20.0</v>
      </c>
      <c r="D117" s="10">
        <v>4.34</v>
      </c>
      <c r="E117" s="10">
        <v>2.6</v>
      </c>
      <c r="F117" s="10">
        <v>0.31</v>
      </c>
      <c r="G117" s="10">
        <v>0.05</v>
      </c>
      <c r="H117" s="3"/>
      <c r="I117" s="3"/>
      <c r="J117" s="3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7" t="s">
        <v>49</v>
      </c>
      <c r="B118" s="8" t="s">
        <v>8</v>
      </c>
      <c r="C118" s="16">
        <v>30.0</v>
      </c>
      <c r="D118" s="14">
        <v>130.0</v>
      </c>
      <c r="E118" s="14">
        <v>3.6</v>
      </c>
      <c r="F118" s="14">
        <v>0.45</v>
      </c>
      <c r="G118" s="14">
        <v>12.7</v>
      </c>
      <c r="H118" s="3"/>
      <c r="I118" s="3"/>
      <c r="J118" s="3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50</v>
      </c>
      <c r="B119" s="8" t="s">
        <v>8</v>
      </c>
      <c r="C119" s="9">
        <v>10.0</v>
      </c>
      <c r="D119" s="14">
        <v>12.0</v>
      </c>
      <c r="E119" s="14">
        <v>2.5</v>
      </c>
      <c r="F119" s="14">
        <v>0.2</v>
      </c>
      <c r="G119" s="14">
        <v>0.01</v>
      </c>
      <c r="H119" s="3"/>
      <c r="I119" s="3"/>
      <c r="J119" s="3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7" t="s">
        <v>41</v>
      </c>
      <c r="B120" s="8" t="s">
        <v>8</v>
      </c>
      <c r="C120" s="9">
        <v>50.0</v>
      </c>
      <c r="D120" s="14">
        <v>84.1</v>
      </c>
      <c r="E120" s="14">
        <v>0.17</v>
      </c>
      <c r="F120" s="14">
        <v>11.38</v>
      </c>
      <c r="G120" s="14">
        <v>4.5</v>
      </c>
      <c r="H120" s="3"/>
      <c r="I120" s="3"/>
      <c r="J120" s="3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22</v>
      </c>
      <c r="B121" s="8" t="s">
        <v>23</v>
      </c>
      <c r="C121" s="9">
        <v>2.0</v>
      </c>
      <c r="D121" s="14">
        <v>264.0</v>
      </c>
      <c r="E121" s="14">
        <v>53.08</v>
      </c>
      <c r="F121" s="14">
        <v>9.27</v>
      </c>
      <c r="G121" s="14">
        <v>2.77</v>
      </c>
      <c r="H121" s="3"/>
      <c r="I121" s="3"/>
      <c r="J121" s="3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3"/>
      <c r="I122" s="3"/>
      <c r="J122" s="3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7" t="s">
        <v>46</v>
      </c>
      <c r="B123" s="8" t="s">
        <v>8</v>
      </c>
      <c r="C123" s="9">
        <v>15.0</v>
      </c>
      <c r="D123" s="14">
        <v>8.49</v>
      </c>
      <c r="E123" s="14">
        <v>1.73</v>
      </c>
      <c r="F123" s="14">
        <v>0.27</v>
      </c>
      <c r="G123" s="14">
        <v>0.02</v>
      </c>
      <c r="H123" s="3"/>
      <c r="I123" s="3"/>
      <c r="J123" s="3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7" t="s">
        <v>47</v>
      </c>
      <c r="B124" s="8" t="s">
        <v>8</v>
      </c>
      <c r="C124" s="9">
        <v>10.0</v>
      </c>
      <c r="D124" s="14">
        <v>1.95</v>
      </c>
      <c r="E124" s="14">
        <v>0.27</v>
      </c>
      <c r="F124" s="14">
        <v>0.09</v>
      </c>
      <c r="G124" s="14">
        <v>0.04</v>
      </c>
      <c r="H124" s="3"/>
      <c r="I124" s="3"/>
      <c r="J124" s="3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7" t="s">
        <v>48</v>
      </c>
      <c r="B125" s="8" t="s">
        <v>8</v>
      </c>
      <c r="C125" s="9">
        <v>10.0</v>
      </c>
      <c r="D125" s="14">
        <v>1.62</v>
      </c>
      <c r="E125" s="14">
        <v>0.18</v>
      </c>
      <c r="F125" s="14">
        <v>0.12</v>
      </c>
      <c r="G125" s="14">
        <v>0.03</v>
      </c>
      <c r="H125" s="3"/>
      <c r="I125" s="3"/>
      <c r="J125" s="3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7" t="s">
        <v>42</v>
      </c>
      <c r="B126" s="8" t="s">
        <v>8</v>
      </c>
      <c r="C126" s="14">
        <v>20.0</v>
      </c>
      <c r="D126" s="10">
        <v>4.34</v>
      </c>
      <c r="E126" s="10">
        <v>2.6</v>
      </c>
      <c r="F126" s="10">
        <v>0.31</v>
      </c>
      <c r="G126" s="10">
        <v>0.05</v>
      </c>
      <c r="H126" s="3"/>
      <c r="I126" s="3"/>
      <c r="J126" s="3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7" t="s">
        <v>49</v>
      </c>
      <c r="B127" s="8" t="s">
        <v>8</v>
      </c>
      <c r="C127" s="16">
        <v>30.0</v>
      </c>
      <c r="D127" s="14">
        <v>130.0</v>
      </c>
      <c r="E127" s="14">
        <v>3.6</v>
      </c>
      <c r="F127" s="14">
        <v>0.45</v>
      </c>
      <c r="G127" s="14">
        <v>12.7</v>
      </c>
      <c r="H127" s="3"/>
      <c r="I127" s="3"/>
      <c r="J127" s="3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 t="s">
        <v>50</v>
      </c>
      <c r="B128" s="8" t="s">
        <v>8</v>
      </c>
      <c r="C128" s="9">
        <v>10.0</v>
      </c>
      <c r="D128" s="14">
        <v>12.0</v>
      </c>
      <c r="E128" s="14">
        <v>2.5</v>
      </c>
      <c r="F128" s="14">
        <v>0.2</v>
      </c>
      <c r="G128" s="14">
        <v>0.01</v>
      </c>
      <c r="H128" s="3"/>
      <c r="I128" s="3"/>
      <c r="J128" s="3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7" t="s">
        <v>51</v>
      </c>
      <c r="B129" s="8" t="s">
        <v>8</v>
      </c>
      <c r="C129" s="9">
        <v>50.0</v>
      </c>
      <c r="D129" s="14">
        <v>152.7</v>
      </c>
      <c r="E129" s="14">
        <v>1.2</v>
      </c>
      <c r="F129" s="14">
        <v>9.43</v>
      </c>
      <c r="G129" s="14">
        <v>12.38</v>
      </c>
      <c r="H129" s="3"/>
      <c r="I129" s="3"/>
      <c r="J129" s="3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" t="s">
        <v>22</v>
      </c>
      <c r="B130" s="8" t="s">
        <v>23</v>
      </c>
      <c r="C130" s="9">
        <v>2.0</v>
      </c>
      <c r="D130" s="14">
        <v>264.0</v>
      </c>
      <c r="E130" s="14">
        <v>53.08</v>
      </c>
      <c r="F130" s="14">
        <v>9.27</v>
      </c>
      <c r="G130" s="14">
        <v>2.77</v>
      </c>
      <c r="H130" s="3"/>
      <c r="I130" s="3"/>
      <c r="J130" s="3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3"/>
      <c r="I131" s="3"/>
      <c r="J131" s="3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3"/>
      <c r="I132" s="3"/>
      <c r="J132" s="3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28</v>
      </c>
      <c r="B133" s="8" t="s">
        <v>8</v>
      </c>
      <c r="C133" s="9">
        <v>250.0</v>
      </c>
      <c r="D133" s="10">
        <v>59.6</v>
      </c>
      <c r="E133" s="10">
        <v>10.4</v>
      </c>
      <c r="F133" s="10">
        <v>1.0</v>
      </c>
      <c r="G133" s="10">
        <v>0.41</v>
      </c>
      <c r="H133" s="3"/>
      <c r="I133" s="3"/>
      <c r="J133" s="3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" t="s">
        <v>52</v>
      </c>
      <c r="B134" s="8" t="s">
        <v>8</v>
      </c>
      <c r="C134" s="9">
        <v>50.0</v>
      </c>
      <c r="D134" s="4"/>
      <c r="E134" s="4"/>
      <c r="F134" s="4"/>
      <c r="G134" s="4"/>
      <c r="H134" s="3"/>
      <c r="I134" s="3"/>
      <c r="J134" s="3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 t="s">
        <v>53</v>
      </c>
      <c r="B135" s="8" t="s">
        <v>8</v>
      </c>
      <c r="C135" s="9">
        <v>4.0</v>
      </c>
      <c r="D135" s="10">
        <v>3.2</v>
      </c>
      <c r="E135" s="10">
        <v>0.9</v>
      </c>
      <c r="F135" s="10">
        <v>0.0</v>
      </c>
      <c r="G135" s="10">
        <v>0.0</v>
      </c>
      <c r="H135" s="3"/>
      <c r="I135" s="3"/>
      <c r="J135" s="3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3"/>
      <c r="I136" s="3"/>
      <c r="J136" s="3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7" t="s">
        <v>21</v>
      </c>
      <c r="B137" s="17" t="s">
        <v>8</v>
      </c>
      <c r="C137" s="16">
        <v>80.0</v>
      </c>
      <c r="D137" s="10">
        <v>46.9</v>
      </c>
      <c r="E137" s="10">
        <v>9.69</v>
      </c>
      <c r="F137" s="10">
        <v>1.5</v>
      </c>
      <c r="G137" s="10">
        <v>0.35</v>
      </c>
      <c r="H137" s="3"/>
      <c r="I137" s="3"/>
      <c r="J137" s="3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" t="s">
        <v>15</v>
      </c>
      <c r="B138" s="8" t="s">
        <v>8</v>
      </c>
      <c r="C138" s="9">
        <v>100.0</v>
      </c>
      <c r="D138" s="10">
        <v>48.9</v>
      </c>
      <c r="E138" s="10">
        <v>4.9</v>
      </c>
      <c r="F138" s="10">
        <v>3.26</v>
      </c>
      <c r="G138" s="10">
        <v>4.4</v>
      </c>
      <c r="H138" s="3"/>
      <c r="I138" s="3"/>
      <c r="J138" s="3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53</v>
      </c>
      <c r="B139" s="8" t="s">
        <v>8</v>
      </c>
      <c r="C139" s="9">
        <v>4.0</v>
      </c>
      <c r="D139" s="10">
        <v>3.2</v>
      </c>
      <c r="E139" s="10">
        <v>0.9</v>
      </c>
      <c r="F139" s="10">
        <v>0.0</v>
      </c>
      <c r="G139" s="10">
        <v>0.0</v>
      </c>
      <c r="H139" s="3"/>
      <c r="I139" s="3"/>
      <c r="J139" s="3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3"/>
      <c r="I140" s="3"/>
      <c r="J140" s="3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3"/>
      <c r="I141" s="3"/>
      <c r="J141" s="3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3"/>
      <c r="I142" s="3"/>
      <c r="J142" s="3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3"/>
      <c r="I143" s="3"/>
      <c r="J143" s="3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3"/>
      <c r="I144" s="3"/>
      <c r="J144" s="3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3"/>
      <c r="I145" s="3"/>
      <c r="J145" s="3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3"/>
      <c r="I146" s="3"/>
      <c r="J146" s="3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3"/>
      <c r="I147" s="3"/>
      <c r="J147" s="3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3"/>
      <c r="I148" s="3"/>
      <c r="J148" s="3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3"/>
      <c r="I149" s="3"/>
      <c r="J149" s="3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3"/>
      <c r="I150" s="3"/>
      <c r="J150" s="3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3"/>
      <c r="I151" s="3"/>
      <c r="J151" s="3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3"/>
      <c r="I152" s="3"/>
      <c r="J152" s="3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3"/>
      <c r="I153" s="3"/>
      <c r="J153" s="3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3"/>
      <c r="I154" s="3"/>
      <c r="J154" s="3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3"/>
      <c r="I155" s="3"/>
      <c r="J155" s="3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3"/>
      <c r="I156" s="3"/>
      <c r="J156" s="3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3"/>
      <c r="I157" s="3"/>
      <c r="J157" s="3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3"/>
      <c r="I158" s="3"/>
      <c r="J158" s="3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3"/>
      <c r="I159" s="3"/>
      <c r="J159" s="3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3"/>
      <c r="I160" s="3"/>
      <c r="J160" s="3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3"/>
      <c r="I161" s="3"/>
      <c r="J161" s="3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3"/>
      <c r="I162" s="3"/>
      <c r="J162" s="3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3"/>
      <c r="I163" s="3"/>
      <c r="J163" s="3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3"/>
      <c r="I164" s="3"/>
      <c r="J164" s="3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3"/>
      <c r="I165" s="3"/>
      <c r="J165" s="3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3"/>
      <c r="I166" s="3"/>
      <c r="J166" s="3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3"/>
      <c r="I167" s="3"/>
      <c r="J167" s="3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3"/>
      <c r="I168" s="3"/>
      <c r="J168" s="3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3"/>
      <c r="I169" s="3"/>
      <c r="J169" s="3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3"/>
      <c r="I170" s="3"/>
      <c r="J170" s="3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3"/>
      <c r="I171" s="3"/>
      <c r="J171" s="3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3"/>
      <c r="I172" s="3"/>
      <c r="J172" s="3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3"/>
      <c r="I173" s="3"/>
      <c r="J173" s="3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3"/>
      <c r="I174" s="3"/>
      <c r="J174" s="3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3"/>
      <c r="I175" s="3"/>
      <c r="J175" s="3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3"/>
      <c r="I176" s="3"/>
      <c r="J176" s="3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3"/>
      <c r="I177" s="3"/>
      <c r="J177" s="3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3"/>
      <c r="I178" s="3"/>
      <c r="J178" s="3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3"/>
      <c r="I179" s="3"/>
      <c r="J179" s="3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3"/>
      <c r="I180" s="3"/>
      <c r="J180" s="3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3"/>
      <c r="I181" s="3"/>
      <c r="J181" s="3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3"/>
      <c r="I182" s="3"/>
      <c r="J182" s="3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3"/>
      <c r="I183" s="3"/>
      <c r="J183" s="3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3"/>
      <c r="I184" s="3"/>
      <c r="J184" s="3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3"/>
      <c r="I185" s="3"/>
      <c r="J185" s="3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3"/>
      <c r="I186" s="3"/>
      <c r="J186" s="3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3"/>
      <c r="I187" s="3"/>
      <c r="J187" s="3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3"/>
      <c r="I188" s="3"/>
      <c r="J188" s="3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3"/>
      <c r="I189" s="3"/>
      <c r="J189" s="3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3"/>
      <c r="I190" s="3"/>
      <c r="J190" s="3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3"/>
      <c r="I191" s="3"/>
      <c r="J191" s="3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3"/>
      <c r="I192" s="3"/>
      <c r="J192" s="3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3"/>
      <c r="I193" s="3"/>
      <c r="J193" s="3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3"/>
      <c r="I194" s="3"/>
      <c r="J194" s="3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3"/>
      <c r="I195" s="3"/>
      <c r="J195" s="3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3"/>
      <c r="I196" s="3"/>
      <c r="J196" s="3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3"/>
      <c r="I197" s="3"/>
      <c r="J197" s="3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3"/>
      <c r="I198" s="3"/>
      <c r="J198" s="3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3"/>
      <c r="I199" s="3"/>
      <c r="J199" s="3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3"/>
      <c r="I200" s="3"/>
      <c r="J200" s="3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3"/>
      <c r="I201" s="3"/>
      <c r="J201" s="3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3"/>
      <c r="I202" s="3"/>
      <c r="J202" s="3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3"/>
      <c r="I203" s="3"/>
      <c r="J203" s="3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3"/>
      <c r="I204" s="3"/>
      <c r="J204" s="3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3"/>
      <c r="I205" s="3"/>
      <c r="J205" s="3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3"/>
      <c r="I206" s="3"/>
      <c r="J206" s="3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3"/>
      <c r="I207" s="3"/>
      <c r="J207" s="3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3"/>
      <c r="I208" s="3"/>
      <c r="J208" s="3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3"/>
      <c r="I209" s="3"/>
      <c r="J209" s="3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3"/>
      <c r="I210" s="3"/>
      <c r="J210" s="3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3"/>
      <c r="I211" s="3"/>
      <c r="J211" s="3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3"/>
      <c r="I212" s="3"/>
      <c r="J212" s="3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3"/>
      <c r="I213" s="3"/>
      <c r="J213" s="3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3"/>
      <c r="I214" s="3"/>
      <c r="J214" s="3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3"/>
      <c r="I215" s="3"/>
      <c r="J215" s="3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3"/>
      <c r="I216" s="3"/>
      <c r="J216" s="3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3"/>
      <c r="I217" s="3"/>
      <c r="J217" s="3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3"/>
      <c r="I218" s="3"/>
      <c r="J218" s="3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3"/>
      <c r="I219" s="3"/>
      <c r="J219" s="3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3"/>
      <c r="I220" s="3"/>
      <c r="J220" s="3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3"/>
      <c r="I221" s="3"/>
      <c r="J221" s="3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3"/>
      <c r="I222" s="3"/>
      <c r="J222" s="3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3"/>
      <c r="I223" s="3"/>
      <c r="J223" s="3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3"/>
      <c r="I224" s="3"/>
      <c r="J224" s="3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3"/>
      <c r="I225" s="3"/>
      <c r="J225" s="3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3"/>
      <c r="I226" s="3"/>
      <c r="J226" s="3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3"/>
      <c r="I227" s="3"/>
      <c r="J227" s="3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3"/>
      <c r="I228" s="3"/>
      <c r="J228" s="3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3"/>
      <c r="I229" s="3"/>
      <c r="J229" s="3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3"/>
      <c r="I230" s="3"/>
      <c r="J230" s="3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3"/>
      <c r="I231" s="3"/>
      <c r="J231" s="3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3"/>
      <c r="I232" s="3"/>
      <c r="J232" s="3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3"/>
      <c r="I233" s="3"/>
      <c r="J233" s="3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3"/>
      <c r="I234" s="3"/>
      <c r="J234" s="3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3"/>
      <c r="I235" s="3"/>
      <c r="J235" s="3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3"/>
      <c r="I236" s="3"/>
      <c r="J236" s="3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3"/>
      <c r="I237" s="3"/>
      <c r="J237" s="3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3"/>
      <c r="I238" s="3"/>
      <c r="J238" s="3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3"/>
      <c r="I239" s="3"/>
      <c r="J239" s="3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3"/>
      <c r="I240" s="3"/>
      <c r="J240" s="3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3"/>
      <c r="I241" s="3"/>
      <c r="J241" s="3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3"/>
      <c r="I242" s="3"/>
      <c r="J242" s="3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3"/>
      <c r="I243" s="3"/>
      <c r="J243" s="3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3"/>
      <c r="I244" s="3"/>
      <c r="J244" s="3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3"/>
      <c r="I245" s="3"/>
      <c r="J245" s="3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3"/>
      <c r="I246" s="3"/>
      <c r="J246" s="3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3"/>
      <c r="I247" s="3"/>
      <c r="J247" s="3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3"/>
      <c r="I248" s="3"/>
      <c r="J248" s="3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3"/>
      <c r="I249" s="3"/>
      <c r="J249" s="3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3"/>
      <c r="I250" s="3"/>
      <c r="J250" s="3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3"/>
      <c r="I251" s="3"/>
      <c r="J251" s="3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3"/>
      <c r="I252" s="3"/>
      <c r="J252" s="3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3"/>
      <c r="I253" s="3"/>
      <c r="J253" s="3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3"/>
      <c r="I254" s="3"/>
      <c r="J254" s="3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3"/>
      <c r="I255" s="3"/>
      <c r="J255" s="3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3"/>
      <c r="I256" s="3"/>
      <c r="J256" s="3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3"/>
      <c r="I257" s="3"/>
      <c r="J257" s="3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3"/>
      <c r="I258" s="3"/>
      <c r="J258" s="3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3"/>
      <c r="I259" s="3"/>
      <c r="J259" s="3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3"/>
      <c r="I260" s="3"/>
      <c r="J260" s="3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3"/>
      <c r="I261" s="3"/>
      <c r="J261" s="3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3"/>
      <c r="I262" s="3"/>
      <c r="J262" s="3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3"/>
      <c r="I263" s="3"/>
      <c r="J263" s="3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3"/>
      <c r="I264" s="3"/>
      <c r="J264" s="3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3"/>
      <c r="I265" s="3"/>
      <c r="J265" s="3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3"/>
      <c r="I266" s="3"/>
      <c r="J266" s="3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3"/>
      <c r="I267" s="3"/>
      <c r="J267" s="3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3"/>
      <c r="I268" s="3"/>
      <c r="J268" s="3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3"/>
      <c r="I269" s="3"/>
      <c r="J269" s="3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3"/>
      <c r="I270" s="3"/>
      <c r="J270" s="3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3"/>
      <c r="I271" s="3"/>
      <c r="J271" s="3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3"/>
      <c r="I272" s="3"/>
      <c r="J272" s="3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3"/>
      <c r="I273" s="3"/>
      <c r="J273" s="3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3"/>
      <c r="I274" s="3"/>
      <c r="J274" s="3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3"/>
      <c r="I275" s="3"/>
      <c r="J275" s="3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3"/>
      <c r="I276" s="3"/>
      <c r="J276" s="3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3"/>
      <c r="I277" s="3"/>
      <c r="J277" s="3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3"/>
      <c r="I278" s="3"/>
      <c r="J278" s="3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3"/>
      <c r="I279" s="3"/>
      <c r="J279" s="3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3"/>
      <c r="I280" s="3"/>
      <c r="J280" s="3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3"/>
      <c r="I281" s="3"/>
      <c r="J281" s="3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3"/>
      <c r="I282" s="3"/>
      <c r="J282" s="3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3"/>
      <c r="I283" s="3"/>
      <c r="J283" s="3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3"/>
      <c r="I284" s="3"/>
      <c r="J284" s="3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3"/>
      <c r="I285" s="3"/>
      <c r="J285" s="3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3"/>
      <c r="I286" s="3"/>
      <c r="J286" s="3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3"/>
      <c r="I287" s="3"/>
      <c r="J287" s="3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3"/>
      <c r="I288" s="3"/>
      <c r="J288" s="3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3"/>
      <c r="I289" s="3"/>
      <c r="J289" s="3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3"/>
      <c r="I290" s="3"/>
      <c r="J290" s="3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3"/>
      <c r="I291" s="3"/>
      <c r="J291" s="3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3"/>
      <c r="I292" s="3"/>
      <c r="J292" s="3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3"/>
      <c r="I293" s="3"/>
      <c r="J293" s="3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3"/>
      <c r="I294" s="3"/>
      <c r="J294" s="3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3"/>
      <c r="I295" s="3"/>
      <c r="J295" s="3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3"/>
      <c r="I296" s="3"/>
      <c r="J296" s="3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3"/>
      <c r="I297" s="3"/>
      <c r="J297" s="3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3"/>
      <c r="I298" s="3"/>
      <c r="J298" s="3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3"/>
      <c r="I299" s="3"/>
      <c r="J299" s="3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3"/>
      <c r="I300" s="3"/>
      <c r="J300" s="3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3"/>
      <c r="I301" s="3"/>
      <c r="J301" s="3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3"/>
      <c r="I302" s="3"/>
      <c r="J302" s="3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3"/>
      <c r="I303" s="3"/>
      <c r="J303" s="3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3"/>
      <c r="I304" s="3"/>
      <c r="J304" s="3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3"/>
      <c r="I305" s="3"/>
      <c r="J305" s="3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3"/>
      <c r="I306" s="3"/>
      <c r="J306" s="3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3"/>
      <c r="I307" s="3"/>
      <c r="J307" s="3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3"/>
      <c r="I308" s="3"/>
      <c r="J308" s="3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3"/>
      <c r="I309" s="3"/>
      <c r="J309" s="3"/>
      <c r="K309" s="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3"/>
      <c r="I310" s="3"/>
      <c r="J310" s="3"/>
      <c r="K310" s="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3"/>
      <c r="I311" s="3"/>
      <c r="J311" s="3"/>
      <c r="K311" s="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3"/>
      <c r="I312" s="3"/>
      <c r="J312" s="3"/>
      <c r="K312" s="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3"/>
      <c r="I313" s="3"/>
      <c r="J313" s="3"/>
      <c r="K313" s="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3"/>
      <c r="I314" s="3"/>
      <c r="J314" s="3"/>
      <c r="K314" s="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3"/>
      <c r="I315" s="3"/>
      <c r="J315" s="3"/>
      <c r="K315" s="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3"/>
      <c r="I316" s="3"/>
      <c r="J316" s="3"/>
      <c r="K316" s="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3"/>
      <c r="I317" s="3"/>
      <c r="J317" s="3"/>
      <c r="K317" s="3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3"/>
      <c r="I318" s="3"/>
      <c r="J318" s="3"/>
      <c r="K318" s="3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3"/>
      <c r="I319" s="3"/>
      <c r="J319" s="3"/>
      <c r="K319" s="3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3"/>
      <c r="I320" s="3"/>
      <c r="J320" s="3"/>
      <c r="K320" s="3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3"/>
      <c r="I321" s="3"/>
      <c r="J321" s="3"/>
      <c r="K321" s="3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3"/>
      <c r="I322" s="3"/>
      <c r="J322" s="3"/>
      <c r="K322" s="3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3"/>
      <c r="I323" s="3"/>
      <c r="J323" s="3"/>
      <c r="K323" s="3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3"/>
      <c r="I324" s="3"/>
      <c r="J324" s="3"/>
      <c r="K324" s="3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3"/>
      <c r="I325" s="3"/>
      <c r="J325" s="3"/>
      <c r="K325" s="3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3"/>
      <c r="I326" s="3"/>
      <c r="J326" s="3"/>
      <c r="K326" s="3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3"/>
      <c r="I327" s="3"/>
      <c r="J327" s="3"/>
      <c r="K327" s="3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3"/>
      <c r="I328" s="3"/>
      <c r="J328" s="3"/>
      <c r="K328" s="3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3"/>
      <c r="I329" s="3"/>
      <c r="J329" s="3"/>
      <c r="K329" s="3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3"/>
      <c r="I330" s="3"/>
      <c r="J330" s="3"/>
      <c r="K330" s="3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3"/>
      <c r="I331" s="3"/>
      <c r="J331" s="3"/>
      <c r="K331" s="3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3"/>
      <c r="I332" s="3"/>
      <c r="J332" s="3"/>
      <c r="K332" s="3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3"/>
      <c r="I333" s="3"/>
      <c r="J333" s="3"/>
      <c r="K333" s="3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3"/>
      <c r="I334" s="3"/>
      <c r="J334" s="3"/>
      <c r="K334" s="3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3"/>
      <c r="I335" s="3"/>
      <c r="J335" s="3"/>
      <c r="K335" s="3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3"/>
      <c r="I336" s="3"/>
      <c r="J336" s="3"/>
      <c r="K336" s="3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3"/>
      <c r="I337" s="3"/>
      <c r="J337" s="3"/>
      <c r="K337" s="3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3"/>
      <c r="I338" s="3"/>
      <c r="J338" s="3"/>
      <c r="K338" s="3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3"/>
      <c r="I339" s="3"/>
      <c r="J339" s="3"/>
      <c r="K339" s="3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3"/>
      <c r="I340" s="3"/>
      <c r="J340" s="3"/>
      <c r="K340" s="3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3"/>
      <c r="I341" s="3"/>
      <c r="J341" s="3"/>
      <c r="K341" s="3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3"/>
      <c r="I342" s="3"/>
      <c r="J342" s="3"/>
      <c r="K342" s="3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3"/>
      <c r="I343" s="3"/>
      <c r="J343" s="3"/>
      <c r="K343" s="3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3"/>
      <c r="I344" s="3"/>
      <c r="J344" s="3"/>
      <c r="K344" s="3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3"/>
      <c r="I345" s="3"/>
      <c r="J345" s="3"/>
      <c r="K345" s="3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3"/>
      <c r="I346" s="3"/>
      <c r="J346" s="3"/>
      <c r="K346" s="3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3"/>
      <c r="I347" s="3"/>
      <c r="J347" s="3"/>
      <c r="K347" s="3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3"/>
      <c r="I348" s="3"/>
      <c r="J348" s="3"/>
      <c r="K348" s="3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3"/>
      <c r="I349" s="3"/>
      <c r="J349" s="3"/>
      <c r="K349" s="3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3"/>
      <c r="I350" s="3"/>
      <c r="J350" s="3"/>
      <c r="K350" s="3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3"/>
      <c r="I351" s="3"/>
      <c r="J351" s="3"/>
      <c r="K351" s="3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3"/>
      <c r="I352" s="3"/>
      <c r="J352" s="3"/>
      <c r="K352" s="3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3"/>
      <c r="I353" s="3"/>
      <c r="J353" s="3"/>
      <c r="K353" s="3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3"/>
      <c r="I354" s="3"/>
      <c r="J354" s="3"/>
      <c r="K354" s="3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3"/>
      <c r="I355" s="3"/>
      <c r="J355" s="3"/>
      <c r="K355" s="3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3"/>
      <c r="I356" s="3"/>
      <c r="J356" s="3"/>
      <c r="K356" s="3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3"/>
      <c r="I357" s="3"/>
      <c r="J357" s="3"/>
      <c r="K357" s="3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3"/>
      <c r="I358" s="3"/>
      <c r="J358" s="3"/>
      <c r="K358" s="3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3"/>
      <c r="I359" s="3"/>
      <c r="J359" s="3"/>
      <c r="K359" s="3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3"/>
      <c r="I360" s="3"/>
      <c r="J360" s="3"/>
      <c r="K360" s="3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3"/>
      <c r="I361" s="3"/>
      <c r="J361" s="3"/>
      <c r="K361" s="3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3"/>
      <c r="I362" s="3"/>
      <c r="J362" s="3"/>
      <c r="K362" s="3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3"/>
      <c r="I363" s="3"/>
      <c r="J363" s="3"/>
      <c r="K363" s="3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3"/>
      <c r="I364" s="3"/>
      <c r="J364" s="3"/>
      <c r="K364" s="3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3"/>
      <c r="I365" s="3"/>
      <c r="J365" s="3"/>
      <c r="K365" s="3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3"/>
      <c r="I366" s="3"/>
      <c r="J366" s="3"/>
      <c r="K366" s="3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3"/>
      <c r="I367" s="3"/>
      <c r="J367" s="3"/>
      <c r="K367" s="3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3"/>
      <c r="I368" s="3"/>
      <c r="J368" s="3"/>
      <c r="K368" s="3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3"/>
      <c r="I369" s="3"/>
      <c r="J369" s="3"/>
      <c r="K369" s="3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3"/>
      <c r="I370" s="3"/>
      <c r="J370" s="3"/>
      <c r="K370" s="3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3"/>
      <c r="I371" s="3"/>
      <c r="J371" s="3"/>
      <c r="K371" s="3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3"/>
      <c r="I372" s="3"/>
      <c r="J372" s="3"/>
      <c r="K372" s="3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3"/>
      <c r="I373" s="3"/>
      <c r="J373" s="3"/>
      <c r="K373" s="3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3"/>
      <c r="I374" s="3"/>
      <c r="J374" s="3"/>
      <c r="K374" s="3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3"/>
      <c r="I375" s="3"/>
      <c r="J375" s="3"/>
      <c r="K375" s="3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3"/>
      <c r="I376" s="3"/>
      <c r="J376" s="3"/>
      <c r="K376" s="3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3"/>
      <c r="I377" s="3"/>
      <c r="J377" s="3"/>
      <c r="K377" s="3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3"/>
      <c r="I378" s="3"/>
      <c r="J378" s="3"/>
      <c r="K378" s="3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3"/>
      <c r="I379" s="3"/>
      <c r="J379" s="3"/>
      <c r="K379" s="3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3"/>
      <c r="I380" s="3"/>
      <c r="J380" s="3"/>
      <c r="K380" s="3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3"/>
      <c r="I381" s="3"/>
      <c r="J381" s="3"/>
      <c r="K381" s="3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3"/>
      <c r="I382" s="3"/>
      <c r="J382" s="3"/>
      <c r="K382" s="3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3"/>
      <c r="I383" s="3"/>
      <c r="J383" s="3"/>
      <c r="K383" s="3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3"/>
      <c r="I384" s="3"/>
      <c r="J384" s="3"/>
      <c r="K384" s="3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3"/>
      <c r="I385" s="3"/>
      <c r="J385" s="3"/>
      <c r="K385" s="3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3"/>
      <c r="I386" s="3"/>
      <c r="J386" s="3"/>
      <c r="K386" s="3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3"/>
      <c r="I387" s="3"/>
      <c r="J387" s="3"/>
      <c r="K387" s="3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3"/>
      <c r="I388" s="3"/>
      <c r="J388" s="3"/>
      <c r="K388" s="3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3"/>
      <c r="I389" s="3"/>
      <c r="J389" s="3"/>
      <c r="K389" s="3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3"/>
      <c r="I390" s="3"/>
      <c r="J390" s="3"/>
      <c r="K390" s="3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3"/>
      <c r="I391" s="3"/>
      <c r="J391" s="3"/>
      <c r="K391" s="3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3"/>
      <c r="I392" s="3"/>
      <c r="J392" s="3"/>
      <c r="K392" s="3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3"/>
      <c r="I393" s="3"/>
      <c r="J393" s="3"/>
      <c r="K393" s="3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3"/>
      <c r="I394" s="3"/>
      <c r="J394" s="3"/>
      <c r="K394" s="3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3"/>
      <c r="I395" s="3"/>
      <c r="J395" s="3"/>
      <c r="K395" s="3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3"/>
      <c r="I396" s="3"/>
      <c r="J396" s="3"/>
      <c r="K396" s="3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3"/>
      <c r="I397" s="3"/>
      <c r="J397" s="3"/>
      <c r="K397" s="3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3"/>
      <c r="I398" s="3"/>
      <c r="J398" s="3"/>
      <c r="K398" s="3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3"/>
      <c r="I399" s="3"/>
      <c r="J399" s="3"/>
      <c r="K399" s="3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3"/>
      <c r="I400" s="3"/>
      <c r="J400" s="3"/>
      <c r="K400" s="3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3"/>
      <c r="I401" s="3"/>
      <c r="J401" s="3"/>
      <c r="K401" s="3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3"/>
      <c r="I402" s="3"/>
      <c r="J402" s="3"/>
      <c r="K402" s="3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3"/>
      <c r="I403" s="3"/>
      <c r="J403" s="3"/>
      <c r="K403" s="3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3"/>
      <c r="I404" s="3"/>
      <c r="J404" s="3"/>
      <c r="K404" s="3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3"/>
      <c r="I405" s="3"/>
      <c r="J405" s="3"/>
      <c r="K405" s="3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3"/>
      <c r="I406" s="3"/>
      <c r="J406" s="3"/>
      <c r="K406" s="3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3"/>
      <c r="I407" s="3"/>
      <c r="J407" s="3"/>
      <c r="K407" s="3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3"/>
      <c r="I408" s="3"/>
      <c r="J408" s="3"/>
      <c r="K408" s="3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3"/>
      <c r="I409" s="3"/>
      <c r="J409" s="3"/>
      <c r="K409" s="3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3"/>
      <c r="I410" s="3"/>
      <c r="J410" s="3"/>
      <c r="K410" s="3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3"/>
      <c r="I411" s="3"/>
      <c r="J411" s="3"/>
      <c r="K411" s="3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3"/>
      <c r="I412" s="3"/>
      <c r="J412" s="3"/>
      <c r="K412" s="3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3"/>
      <c r="I413" s="3"/>
      <c r="J413" s="3"/>
      <c r="K413" s="3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3"/>
      <c r="I414" s="3"/>
      <c r="J414" s="3"/>
      <c r="K414" s="3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3"/>
      <c r="I415" s="3"/>
      <c r="J415" s="3"/>
      <c r="K415" s="3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3"/>
      <c r="I416" s="3"/>
      <c r="J416" s="3"/>
      <c r="K416" s="3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3"/>
      <c r="I417" s="3"/>
      <c r="J417" s="3"/>
      <c r="K417" s="3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3"/>
      <c r="I418" s="3"/>
      <c r="J418" s="3"/>
      <c r="K418" s="3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3"/>
      <c r="I419" s="3"/>
      <c r="J419" s="3"/>
      <c r="K419" s="3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3"/>
      <c r="I420" s="3"/>
      <c r="J420" s="3"/>
      <c r="K420" s="3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3"/>
      <c r="I421" s="3"/>
      <c r="J421" s="3"/>
      <c r="K421" s="3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3"/>
      <c r="I422" s="3"/>
      <c r="J422" s="3"/>
      <c r="K422" s="3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3"/>
      <c r="I423" s="3"/>
      <c r="J423" s="3"/>
      <c r="K423" s="3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3"/>
      <c r="I424" s="3"/>
      <c r="J424" s="3"/>
      <c r="K424" s="3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3"/>
      <c r="I425" s="3"/>
      <c r="J425" s="3"/>
      <c r="K425" s="3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3"/>
      <c r="I426" s="3"/>
      <c r="J426" s="3"/>
      <c r="K426" s="3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3"/>
      <c r="I427" s="3"/>
      <c r="J427" s="3"/>
      <c r="K427" s="3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3"/>
      <c r="I428" s="3"/>
      <c r="J428" s="3"/>
      <c r="K428" s="3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3"/>
      <c r="I429" s="3"/>
      <c r="J429" s="3"/>
      <c r="K429" s="3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3"/>
      <c r="I430" s="3"/>
      <c r="J430" s="3"/>
      <c r="K430" s="3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3"/>
      <c r="I431" s="3"/>
      <c r="J431" s="3"/>
      <c r="K431" s="3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3"/>
      <c r="I432" s="3"/>
      <c r="J432" s="3"/>
      <c r="K432" s="3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3"/>
      <c r="I433" s="3"/>
      <c r="J433" s="3"/>
      <c r="K433" s="3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3"/>
      <c r="I434" s="3"/>
      <c r="J434" s="3"/>
      <c r="K434" s="3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3"/>
      <c r="I435" s="3"/>
      <c r="J435" s="3"/>
      <c r="K435" s="3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3"/>
      <c r="I436" s="3"/>
      <c r="J436" s="3"/>
      <c r="K436" s="3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3"/>
      <c r="I437" s="3"/>
      <c r="J437" s="3"/>
      <c r="K437" s="3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3"/>
      <c r="I438" s="3"/>
      <c r="J438" s="3"/>
      <c r="K438" s="3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3"/>
      <c r="I439" s="3"/>
      <c r="J439" s="3"/>
      <c r="K439" s="3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3"/>
      <c r="I440" s="3"/>
      <c r="J440" s="3"/>
      <c r="K440" s="3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3"/>
      <c r="I441" s="3"/>
      <c r="J441" s="3"/>
      <c r="K441" s="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3"/>
      <c r="I442" s="3"/>
      <c r="J442" s="3"/>
      <c r="K442" s="3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3"/>
      <c r="I443" s="3"/>
      <c r="J443" s="3"/>
      <c r="K443" s="3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3"/>
      <c r="I444" s="3"/>
      <c r="J444" s="3"/>
      <c r="K444" s="3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3"/>
      <c r="I445" s="3"/>
      <c r="J445" s="3"/>
      <c r="K445" s="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3"/>
      <c r="I446" s="3"/>
      <c r="J446" s="3"/>
      <c r="K446" s="3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3"/>
      <c r="I447" s="3"/>
      <c r="J447" s="3"/>
      <c r="K447" s="3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3"/>
      <c r="I448" s="3"/>
      <c r="J448" s="3"/>
      <c r="K448" s="3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3"/>
      <c r="I449" s="3"/>
      <c r="J449" s="3"/>
      <c r="K449" s="3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3"/>
      <c r="I450" s="3"/>
      <c r="J450" s="3"/>
      <c r="K450" s="3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3"/>
      <c r="I451" s="3"/>
      <c r="J451" s="3"/>
      <c r="K451" s="3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3"/>
      <c r="I452" s="3"/>
      <c r="J452" s="3"/>
      <c r="K452" s="3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3"/>
      <c r="I453" s="3"/>
      <c r="J453" s="3"/>
      <c r="K453" s="3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3"/>
      <c r="I454" s="3"/>
      <c r="J454" s="3"/>
      <c r="K454" s="3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3"/>
      <c r="I455" s="3"/>
      <c r="J455" s="3"/>
      <c r="K455" s="3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3"/>
      <c r="I456" s="3"/>
      <c r="J456" s="3"/>
      <c r="K456" s="3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3"/>
      <c r="I457" s="3"/>
      <c r="J457" s="3"/>
      <c r="K457" s="3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3"/>
      <c r="I458" s="3"/>
      <c r="J458" s="3"/>
      <c r="K458" s="3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3"/>
      <c r="I459" s="3"/>
      <c r="J459" s="3"/>
      <c r="K459" s="3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3"/>
      <c r="I460" s="3"/>
      <c r="J460" s="3"/>
      <c r="K460" s="3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3"/>
      <c r="I461" s="3"/>
      <c r="J461" s="3"/>
      <c r="K461" s="3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3"/>
      <c r="I462" s="3"/>
      <c r="J462" s="3"/>
      <c r="K462" s="3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3"/>
      <c r="I463" s="3"/>
      <c r="J463" s="3"/>
      <c r="K463" s="3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3"/>
      <c r="I464" s="3"/>
      <c r="J464" s="3"/>
      <c r="K464" s="3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3"/>
      <c r="I465" s="3"/>
      <c r="J465" s="3"/>
      <c r="K465" s="3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3"/>
      <c r="I466" s="3"/>
      <c r="J466" s="3"/>
      <c r="K466" s="3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3"/>
      <c r="I467" s="3"/>
      <c r="J467" s="3"/>
      <c r="K467" s="3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3"/>
      <c r="I468" s="3"/>
      <c r="J468" s="3"/>
      <c r="K468" s="3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3"/>
      <c r="I469" s="3"/>
      <c r="J469" s="3"/>
      <c r="K469" s="3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3"/>
      <c r="I470" s="3"/>
      <c r="J470" s="3"/>
      <c r="K470" s="3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3"/>
      <c r="I471" s="3"/>
      <c r="J471" s="3"/>
      <c r="K471" s="3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3"/>
      <c r="I472" s="3"/>
      <c r="J472" s="3"/>
      <c r="K472" s="3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3"/>
      <c r="I473" s="3"/>
      <c r="J473" s="3"/>
      <c r="K473" s="3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3"/>
      <c r="I474" s="3"/>
      <c r="J474" s="3"/>
      <c r="K474" s="3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3"/>
      <c r="I475" s="3"/>
      <c r="J475" s="3"/>
      <c r="K475" s="3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3"/>
      <c r="I476" s="3"/>
      <c r="J476" s="3"/>
      <c r="K476" s="3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3"/>
      <c r="I477" s="3"/>
      <c r="J477" s="3"/>
      <c r="K477" s="3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3"/>
      <c r="I478" s="3"/>
      <c r="J478" s="3"/>
      <c r="K478" s="3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3"/>
      <c r="I479" s="3"/>
      <c r="J479" s="3"/>
      <c r="K479" s="3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3"/>
      <c r="I480" s="3"/>
      <c r="J480" s="3"/>
      <c r="K480" s="3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3"/>
      <c r="I481" s="3"/>
      <c r="J481" s="3"/>
      <c r="K481" s="3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3"/>
      <c r="I482" s="3"/>
      <c r="J482" s="3"/>
      <c r="K482" s="3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3"/>
      <c r="I483" s="3"/>
      <c r="J483" s="3"/>
      <c r="K483" s="3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3"/>
      <c r="I484" s="3"/>
      <c r="J484" s="3"/>
      <c r="K484" s="3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3"/>
      <c r="I485" s="3"/>
      <c r="J485" s="3"/>
      <c r="K485" s="3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3"/>
      <c r="I486" s="3"/>
      <c r="J486" s="3"/>
      <c r="K486" s="3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3"/>
      <c r="I487" s="3"/>
      <c r="J487" s="3"/>
      <c r="K487" s="3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3"/>
      <c r="I488" s="3"/>
      <c r="J488" s="3"/>
      <c r="K488" s="3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3"/>
      <c r="I489" s="3"/>
      <c r="J489" s="3"/>
      <c r="K489" s="3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3"/>
      <c r="I490" s="3"/>
      <c r="J490" s="3"/>
      <c r="K490" s="3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3"/>
      <c r="I491" s="3"/>
      <c r="J491" s="3"/>
      <c r="K491" s="3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3"/>
      <c r="I492" s="3"/>
      <c r="J492" s="3"/>
      <c r="K492" s="3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3"/>
      <c r="I493" s="3"/>
      <c r="J493" s="3"/>
      <c r="K493" s="3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3"/>
      <c r="I494" s="3"/>
      <c r="J494" s="3"/>
      <c r="K494" s="3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3"/>
      <c r="I495" s="3"/>
      <c r="J495" s="3"/>
      <c r="K495" s="3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3"/>
      <c r="I496" s="3"/>
      <c r="J496" s="3"/>
      <c r="K496" s="3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3"/>
      <c r="I497" s="3"/>
      <c r="J497" s="3"/>
      <c r="K497" s="3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3"/>
      <c r="I498" s="3"/>
      <c r="J498" s="3"/>
      <c r="K498" s="3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3"/>
      <c r="I499" s="3"/>
      <c r="J499" s="3"/>
      <c r="K499" s="3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3"/>
      <c r="I500" s="3"/>
      <c r="J500" s="3"/>
      <c r="K500" s="3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3"/>
      <c r="I501" s="3"/>
      <c r="J501" s="3"/>
      <c r="K501" s="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3"/>
      <c r="I502" s="3"/>
      <c r="J502" s="3"/>
      <c r="K502" s="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3"/>
      <c r="I503" s="3"/>
      <c r="J503" s="3"/>
      <c r="K503" s="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3"/>
      <c r="I504" s="3"/>
      <c r="J504" s="3"/>
      <c r="K504" s="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3"/>
      <c r="I505" s="3"/>
      <c r="J505" s="3"/>
      <c r="K505" s="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3"/>
      <c r="I506" s="3"/>
      <c r="J506" s="3"/>
      <c r="K506" s="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3"/>
      <c r="I507" s="3"/>
      <c r="J507" s="3"/>
      <c r="K507" s="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3"/>
      <c r="I508" s="3"/>
      <c r="J508" s="3"/>
      <c r="K508" s="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3"/>
      <c r="I509" s="3"/>
      <c r="J509" s="3"/>
      <c r="K509" s="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3"/>
      <c r="I510" s="3"/>
      <c r="J510" s="3"/>
      <c r="K510" s="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3"/>
      <c r="I511" s="3"/>
      <c r="J511" s="3"/>
      <c r="K511" s="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3"/>
      <c r="I512" s="3"/>
      <c r="J512" s="3"/>
      <c r="K512" s="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3"/>
      <c r="I513" s="3"/>
      <c r="J513" s="3"/>
      <c r="K513" s="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3"/>
      <c r="I514" s="3"/>
      <c r="J514" s="3"/>
      <c r="K514" s="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3"/>
      <c r="I515" s="3"/>
      <c r="J515" s="3"/>
      <c r="K515" s="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3"/>
      <c r="I516" s="3"/>
      <c r="J516" s="3"/>
      <c r="K516" s="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3"/>
      <c r="I517" s="3"/>
      <c r="J517" s="3"/>
      <c r="K517" s="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3"/>
      <c r="I518" s="3"/>
      <c r="J518" s="3"/>
      <c r="K518" s="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3"/>
      <c r="I519" s="3"/>
      <c r="J519" s="3"/>
      <c r="K519" s="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3"/>
      <c r="I520" s="3"/>
      <c r="J520" s="3"/>
      <c r="K520" s="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3"/>
      <c r="I521" s="3"/>
      <c r="J521" s="3"/>
      <c r="K521" s="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3"/>
      <c r="I522" s="3"/>
      <c r="J522" s="3"/>
      <c r="K522" s="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3"/>
      <c r="I523" s="3"/>
      <c r="J523" s="3"/>
      <c r="K523" s="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3"/>
      <c r="I524" s="3"/>
      <c r="J524" s="3"/>
      <c r="K524" s="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3"/>
      <c r="I525" s="3"/>
      <c r="J525" s="3"/>
      <c r="K525" s="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3"/>
      <c r="I526" s="3"/>
      <c r="J526" s="3"/>
      <c r="K526" s="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3"/>
      <c r="I527" s="3"/>
      <c r="J527" s="3"/>
      <c r="K527" s="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3"/>
      <c r="I528" s="3"/>
      <c r="J528" s="3"/>
      <c r="K528" s="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3"/>
      <c r="I529" s="3"/>
      <c r="J529" s="3"/>
      <c r="K529" s="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3"/>
      <c r="I530" s="3"/>
      <c r="J530" s="3"/>
      <c r="K530" s="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3"/>
      <c r="I531" s="3"/>
      <c r="J531" s="3"/>
      <c r="K531" s="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3"/>
      <c r="I532" s="3"/>
      <c r="J532" s="3"/>
      <c r="K532" s="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3"/>
      <c r="I533" s="3"/>
      <c r="J533" s="3"/>
      <c r="K533" s="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3"/>
      <c r="I534" s="3"/>
      <c r="J534" s="3"/>
      <c r="K534" s="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3"/>
      <c r="I535" s="3"/>
      <c r="J535" s="3"/>
      <c r="K535" s="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3"/>
      <c r="I536" s="3"/>
      <c r="J536" s="3"/>
      <c r="K536" s="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3"/>
      <c r="I537" s="3"/>
      <c r="J537" s="3"/>
      <c r="K537" s="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3"/>
      <c r="I538" s="3"/>
      <c r="J538" s="3"/>
      <c r="K538" s="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3"/>
      <c r="I539" s="3"/>
      <c r="J539" s="3"/>
      <c r="K539" s="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3"/>
      <c r="I540" s="3"/>
      <c r="J540" s="3"/>
      <c r="K540" s="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3"/>
      <c r="I541" s="3"/>
      <c r="J541" s="3"/>
      <c r="K541" s="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3"/>
      <c r="I542" s="3"/>
      <c r="J542" s="3"/>
      <c r="K542" s="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3"/>
      <c r="I543" s="3"/>
      <c r="J543" s="3"/>
      <c r="K543" s="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3"/>
      <c r="I544" s="3"/>
      <c r="J544" s="3"/>
      <c r="K544" s="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3"/>
      <c r="I545" s="3"/>
      <c r="J545" s="3"/>
      <c r="K545" s="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3"/>
      <c r="I546" s="3"/>
      <c r="J546" s="3"/>
      <c r="K546" s="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3"/>
      <c r="I547" s="3"/>
      <c r="J547" s="3"/>
      <c r="K547" s="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3"/>
      <c r="I548" s="3"/>
      <c r="J548" s="3"/>
      <c r="K548" s="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3"/>
      <c r="I549" s="3"/>
      <c r="J549" s="3"/>
      <c r="K549" s="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3"/>
      <c r="I550" s="3"/>
      <c r="J550" s="3"/>
      <c r="K550" s="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3"/>
      <c r="I551" s="3"/>
      <c r="J551" s="3"/>
      <c r="K551" s="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3"/>
      <c r="I552" s="3"/>
      <c r="J552" s="3"/>
      <c r="K552" s="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3"/>
      <c r="I553" s="3"/>
      <c r="J553" s="3"/>
      <c r="K553" s="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3"/>
      <c r="I554" s="3"/>
      <c r="J554" s="3"/>
      <c r="K554" s="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3"/>
      <c r="I555" s="3"/>
      <c r="J555" s="3"/>
      <c r="K555" s="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3"/>
      <c r="I556" s="3"/>
      <c r="J556" s="3"/>
      <c r="K556" s="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3"/>
      <c r="I557" s="3"/>
      <c r="J557" s="3"/>
      <c r="K557" s="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3"/>
      <c r="I558" s="3"/>
      <c r="J558" s="3"/>
      <c r="K558" s="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3"/>
      <c r="I559" s="3"/>
      <c r="J559" s="3"/>
      <c r="K559" s="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3"/>
      <c r="I560" s="3"/>
      <c r="J560" s="3"/>
      <c r="K560" s="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3"/>
      <c r="I561" s="3"/>
      <c r="J561" s="3"/>
      <c r="K561" s="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3"/>
      <c r="I562" s="3"/>
      <c r="J562" s="3"/>
      <c r="K562" s="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3"/>
      <c r="I563" s="3"/>
      <c r="J563" s="3"/>
      <c r="K563" s="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3"/>
      <c r="I564" s="3"/>
      <c r="J564" s="3"/>
      <c r="K564" s="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3"/>
      <c r="I565" s="3"/>
      <c r="J565" s="3"/>
      <c r="K565" s="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3"/>
      <c r="I566" s="3"/>
      <c r="J566" s="3"/>
      <c r="K566" s="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3"/>
      <c r="I567" s="3"/>
      <c r="J567" s="3"/>
      <c r="K567" s="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3"/>
      <c r="I568" s="3"/>
      <c r="J568" s="3"/>
      <c r="K568" s="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3"/>
      <c r="I569" s="3"/>
      <c r="J569" s="3"/>
      <c r="K569" s="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3"/>
      <c r="I570" s="3"/>
      <c r="J570" s="3"/>
      <c r="K570" s="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3"/>
      <c r="I571" s="3"/>
      <c r="J571" s="3"/>
      <c r="K571" s="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3"/>
      <c r="I572" s="3"/>
      <c r="J572" s="3"/>
      <c r="K572" s="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3"/>
      <c r="I573" s="3"/>
      <c r="J573" s="3"/>
      <c r="K573" s="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3"/>
      <c r="I574" s="3"/>
      <c r="J574" s="3"/>
      <c r="K574" s="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3"/>
      <c r="I575" s="3"/>
      <c r="J575" s="3"/>
      <c r="K575" s="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3"/>
      <c r="I576" s="3"/>
      <c r="J576" s="3"/>
      <c r="K576" s="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3"/>
      <c r="I577" s="3"/>
      <c r="J577" s="3"/>
      <c r="K577" s="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3"/>
      <c r="I578" s="3"/>
      <c r="J578" s="3"/>
      <c r="K578" s="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3"/>
      <c r="I579" s="3"/>
      <c r="J579" s="3"/>
      <c r="K579" s="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3"/>
      <c r="I580" s="3"/>
      <c r="J580" s="3"/>
      <c r="K580" s="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3"/>
      <c r="I581" s="3"/>
      <c r="J581" s="3"/>
      <c r="K581" s="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3"/>
      <c r="I582" s="3"/>
      <c r="J582" s="3"/>
      <c r="K582" s="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3"/>
      <c r="I583" s="3"/>
      <c r="J583" s="3"/>
      <c r="K583" s="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3"/>
      <c r="I584" s="3"/>
      <c r="J584" s="3"/>
      <c r="K584" s="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3"/>
      <c r="I585" s="3"/>
      <c r="J585" s="3"/>
      <c r="K585" s="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3"/>
      <c r="I586" s="3"/>
      <c r="J586" s="3"/>
      <c r="K586" s="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3"/>
      <c r="I587" s="3"/>
      <c r="J587" s="3"/>
      <c r="K587" s="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3"/>
      <c r="I588" s="3"/>
      <c r="J588" s="3"/>
      <c r="K588" s="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3"/>
      <c r="I589" s="3"/>
      <c r="J589" s="3"/>
      <c r="K589" s="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3"/>
      <c r="I590" s="3"/>
      <c r="J590" s="3"/>
      <c r="K590" s="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3"/>
      <c r="I591" s="3"/>
      <c r="J591" s="3"/>
      <c r="K591" s="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3"/>
      <c r="I592" s="3"/>
      <c r="J592" s="3"/>
      <c r="K592" s="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3"/>
      <c r="I593" s="3"/>
      <c r="J593" s="3"/>
      <c r="K593" s="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3"/>
      <c r="I594" s="3"/>
      <c r="J594" s="3"/>
      <c r="K594" s="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3"/>
      <c r="I595" s="3"/>
      <c r="J595" s="3"/>
      <c r="K595" s="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3"/>
      <c r="I596" s="3"/>
      <c r="J596" s="3"/>
      <c r="K596" s="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3"/>
      <c r="I597" s="3"/>
      <c r="J597" s="3"/>
      <c r="K597" s="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3"/>
      <c r="I598" s="3"/>
      <c r="J598" s="3"/>
      <c r="K598" s="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3"/>
      <c r="I599" s="3"/>
      <c r="J599" s="3"/>
      <c r="K599" s="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3"/>
      <c r="I600" s="3"/>
      <c r="J600" s="3"/>
      <c r="K600" s="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3"/>
      <c r="I601" s="3"/>
      <c r="J601" s="3"/>
      <c r="K601" s="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3"/>
      <c r="I602" s="3"/>
      <c r="J602" s="3"/>
      <c r="K602" s="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3"/>
      <c r="I603" s="3"/>
      <c r="J603" s="3"/>
      <c r="K603" s="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3"/>
      <c r="I604" s="3"/>
      <c r="J604" s="3"/>
      <c r="K604" s="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3"/>
      <c r="I605" s="3"/>
      <c r="J605" s="3"/>
      <c r="K605" s="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3"/>
      <c r="I606" s="3"/>
      <c r="J606" s="3"/>
      <c r="K606" s="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3"/>
      <c r="I607" s="3"/>
      <c r="J607" s="3"/>
      <c r="K607" s="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3"/>
      <c r="I608" s="3"/>
      <c r="J608" s="3"/>
      <c r="K608" s="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3"/>
      <c r="I609" s="3"/>
      <c r="J609" s="3"/>
      <c r="K609" s="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3"/>
      <c r="I610" s="3"/>
      <c r="J610" s="3"/>
      <c r="K610" s="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3"/>
      <c r="I611" s="3"/>
      <c r="J611" s="3"/>
      <c r="K611" s="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3"/>
      <c r="I612" s="3"/>
      <c r="J612" s="3"/>
      <c r="K612" s="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3"/>
      <c r="I613" s="3"/>
      <c r="J613" s="3"/>
      <c r="K613" s="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3"/>
      <c r="I614" s="3"/>
      <c r="J614" s="3"/>
      <c r="K614" s="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3"/>
      <c r="I615" s="3"/>
      <c r="J615" s="3"/>
      <c r="K615" s="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3"/>
      <c r="I616" s="3"/>
      <c r="J616" s="3"/>
      <c r="K616" s="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3"/>
      <c r="I617" s="3"/>
      <c r="J617" s="3"/>
      <c r="K617" s="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3"/>
      <c r="I618" s="3"/>
      <c r="J618" s="3"/>
      <c r="K618" s="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3"/>
      <c r="I619" s="3"/>
      <c r="J619" s="3"/>
      <c r="K619" s="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3"/>
      <c r="I620" s="3"/>
      <c r="J620" s="3"/>
      <c r="K620" s="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3"/>
      <c r="I621" s="3"/>
      <c r="J621" s="3"/>
      <c r="K621" s="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3"/>
      <c r="I622" s="3"/>
      <c r="J622" s="3"/>
      <c r="K622" s="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3"/>
      <c r="I623" s="3"/>
      <c r="J623" s="3"/>
      <c r="K623" s="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3"/>
      <c r="I624" s="3"/>
      <c r="J624" s="3"/>
      <c r="K624" s="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3"/>
      <c r="I625" s="3"/>
      <c r="J625" s="3"/>
      <c r="K625" s="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3"/>
      <c r="I626" s="3"/>
      <c r="J626" s="3"/>
      <c r="K626" s="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3"/>
      <c r="I627" s="3"/>
      <c r="J627" s="3"/>
      <c r="K627" s="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3"/>
      <c r="I628" s="3"/>
      <c r="J628" s="3"/>
      <c r="K628" s="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3"/>
      <c r="I629" s="3"/>
      <c r="J629" s="3"/>
      <c r="K629" s="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3"/>
      <c r="I630" s="3"/>
      <c r="J630" s="3"/>
      <c r="K630" s="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3"/>
      <c r="I631" s="3"/>
      <c r="J631" s="3"/>
      <c r="K631" s="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3"/>
      <c r="I632" s="3"/>
      <c r="J632" s="3"/>
      <c r="K632" s="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3"/>
      <c r="I633" s="3"/>
      <c r="J633" s="3"/>
      <c r="K633" s="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3"/>
      <c r="I634" s="3"/>
      <c r="J634" s="3"/>
      <c r="K634" s="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3"/>
      <c r="I635" s="3"/>
      <c r="J635" s="3"/>
      <c r="K635" s="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3"/>
      <c r="I636" s="3"/>
      <c r="J636" s="3"/>
      <c r="K636" s="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3"/>
      <c r="I637" s="3"/>
      <c r="J637" s="3"/>
      <c r="K637" s="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3"/>
      <c r="I638" s="3"/>
      <c r="J638" s="3"/>
      <c r="K638" s="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3"/>
      <c r="I639" s="3"/>
      <c r="J639" s="3"/>
      <c r="K639" s="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3"/>
      <c r="I640" s="3"/>
      <c r="J640" s="3"/>
      <c r="K640" s="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3"/>
      <c r="I641" s="3"/>
      <c r="J641" s="3"/>
      <c r="K641" s="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3"/>
      <c r="I642" s="3"/>
      <c r="J642" s="3"/>
      <c r="K642" s="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3"/>
      <c r="I643" s="3"/>
      <c r="J643" s="3"/>
      <c r="K643" s="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3"/>
      <c r="I644" s="3"/>
      <c r="J644" s="3"/>
      <c r="K644" s="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3"/>
      <c r="I645" s="3"/>
      <c r="J645" s="3"/>
      <c r="K645" s="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3"/>
      <c r="I646" s="3"/>
      <c r="J646" s="3"/>
      <c r="K646" s="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3"/>
      <c r="I647" s="3"/>
      <c r="J647" s="3"/>
      <c r="K647" s="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3"/>
      <c r="I648" s="3"/>
      <c r="J648" s="3"/>
      <c r="K648" s="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3"/>
      <c r="I649" s="3"/>
      <c r="J649" s="3"/>
      <c r="K649" s="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3"/>
      <c r="I650" s="3"/>
      <c r="J650" s="3"/>
      <c r="K650" s="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3"/>
      <c r="I651" s="3"/>
      <c r="J651" s="3"/>
      <c r="K651" s="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3"/>
      <c r="I652" s="3"/>
      <c r="J652" s="3"/>
      <c r="K652" s="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3"/>
      <c r="I653" s="3"/>
      <c r="J653" s="3"/>
      <c r="K653" s="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3"/>
      <c r="I654" s="3"/>
      <c r="J654" s="3"/>
      <c r="K654" s="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3"/>
      <c r="I655" s="3"/>
      <c r="J655" s="3"/>
      <c r="K655" s="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3"/>
      <c r="I656" s="3"/>
      <c r="J656" s="3"/>
      <c r="K656" s="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3"/>
      <c r="I657" s="3"/>
      <c r="J657" s="3"/>
      <c r="K657" s="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3"/>
      <c r="I658" s="3"/>
      <c r="J658" s="3"/>
      <c r="K658" s="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3"/>
      <c r="I659" s="3"/>
      <c r="J659" s="3"/>
      <c r="K659" s="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3"/>
      <c r="I660" s="3"/>
      <c r="J660" s="3"/>
      <c r="K660" s="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3"/>
      <c r="I661" s="3"/>
      <c r="J661" s="3"/>
      <c r="K661" s="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3"/>
      <c r="I662" s="3"/>
      <c r="J662" s="3"/>
      <c r="K662" s="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3"/>
      <c r="I663" s="3"/>
      <c r="J663" s="3"/>
      <c r="K663" s="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3"/>
      <c r="I664" s="3"/>
      <c r="J664" s="3"/>
      <c r="K664" s="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3"/>
      <c r="I665" s="3"/>
      <c r="J665" s="3"/>
      <c r="K665" s="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3"/>
      <c r="I666" s="3"/>
      <c r="J666" s="3"/>
      <c r="K666" s="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3"/>
      <c r="I667" s="3"/>
      <c r="J667" s="3"/>
      <c r="K667" s="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3"/>
      <c r="I668" s="3"/>
      <c r="J668" s="3"/>
      <c r="K668" s="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3"/>
      <c r="I669" s="3"/>
      <c r="J669" s="3"/>
      <c r="K669" s="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3"/>
      <c r="I670" s="3"/>
      <c r="J670" s="3"/>
      <c r="K670" s="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3"/>
      <c r="I671" s="3"/>
      <c r="J671" s="3"/>
      <c r="K671" s="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3"/>
      <c r="I672" s="3"/>
      <c r="J672" s="3"/>
      <c r="K672" s="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3"/>
      <c r="I673" s="3"/>
      <c r="J673" s="3"/>
      <c r="K673" s="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3"/>
      <c r="I674" s="3"/>
      <c r="J674" s="3"/>
      <c r="K674" s="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3"/>
      <c r="I675" s="3"/>
      <c r="J675" s="3"/>
      <c r="K675" s="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3"/>
      <c r="I676" s="3"/>
      <c r="J676" s="3"/>
      <c r="K676" s="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3"/>
      <c r="I677" s="3"/>
      <c r="J677" s="3"/>
      <c r="K677" s="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3"/>
      <c r="I678" s="3"/>
      <c r="J678" s="3"/>
      <c r="K678" s="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3"/>
      <c r="I679" s="3"/>
      <c r="J679" s="3"/>
      <c r="K679" s="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3"/>
      <c r="I680" s="3"/>
      <c r="J680" s="3"/>
      <c r="K680" s="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3"/>
      <c r="I681" s="3"/>
      <c r="J681" s="3"/>
      <c r="K681" s="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3"/>
      <c r="I682" s="3"/>
      <c r="J682" s="3"/>
      <c r="K682" s="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3"/>
      <c r="I683" s="3"/>
      <c r="J683" s="3"/>
      <c r="K683" s="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3"/>
      <c r="I684" s="3"/>
      <c r="J684" s="3"/>
      <c r="K684" s="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3"/>
      <c r="I685" s="3"/>
      <c r="J685" s="3"/>
      <c r="K685" s="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3"/>
      <c r="I686" s="3"/>
      <c r="J686" s="3"/>
      <c r="K686" s="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3"/>
      <c r="I687" s="3"/>
      <c r="J687" s="3"/>
      <c r="K687" s="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3"/>
      <c r="I688" s="3"/>
      <c r="J688" s="3"/>
      <c r="K688" s="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3"/>
      <c r="I689" s="3"/>
      <c r="J689" s="3"/>
      <c r="K689" s="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3"/>
      <c r="I690" s="3"/>
      <c r="J690" s="3"/>
      <c r="K690" s="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3"/>
      <c r="I691" s="3"/>
      <c r="J691" s="3"/>
      <c r="K691" s="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3"/>
      <c r="I692" s="3"/>
      <c r="J692" s="3"/>
      <c r="K692" s="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3"/>
      <c r="I693" s="3"/>
      <c r="J693" s="3"/>
      <c r="K693" s="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3"/>
      <c r="I694" s="3"/>
      <c r="J694" s="3"/>
      <c r="K694" s="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3"/>
      <c r="I695" s="3"/>
      <c r="J695" s="3"/>
      <c r="K695" s="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3"/>
      <c r="I696" s="3"/>
      <c r="J696" s="3"/>
      <c r="K696" s="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3"/>
      <c r="I697" s="3"/>
      <c r="J697" s="3"/>
      <c r="K697" s="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3"/>
      <c r="I698" s="3"/>
      <c r="J698" s="3"/>
      <c r="K698" s="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3"/>
      <c r="I699" s="3"/>
      <c r="J699" s="3"/>
      <c r="K699" s="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3"/>
      <c r="I700" s="3"/>
      <c r="J700" s="3"/>
      <c r="K700" s="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3"/>
      <c r="I701" s="3"/>
      <c r="J701" s="3"/>
      <c r="K701" s="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3"/>
      <c r="I702" s="3"/>
      <c r="J702" s="3"/>
      <c r="K702" s="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3"/>
      <c r="I703" s="3"/>
      <c r="J703" s="3"/>
      <c r="K703" s="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3"/>
      <c r="I704" s="3"/>
      <c r="J704" s="3"/>
      <c r="K704" s="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3"/>
      <c r="I705" s="3"/>
      <c r="J705" s="3"/>
      <c r="K705" s="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3"/>
      <c r="I706" s="3"/>
      <c r="J706" s="3"/>
      <c r="K706" s="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3"/>
      <c r="I707" s="3"/>
      <c r="J707" s="3"/>
      <c r="K707" s="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3"/>
      <c r="I708" s="3"/>
      <c r="J708" s="3"/>
      <c r="K708" s="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3"/>
      <c r="I709" s="3"/>
      <c r="J709" s="3"/>
      <c r="K709" s="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3"/>
      <c r="I710" s="3"/>
      <c r="J710" s="3"/>
      <c r="K710" s="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3"/>
      <c r="I711" s="3"/>
      <c r="J711" s="3"/>
      <c r="K711" s="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3"/>
      <c r="I712" s="3"/>
      <c r="J712" s="3"/>
      <c r="K712" s="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3"/>
      <c r="I713" s="3"/>
      <c r="J713" s="3"/>
      <c r="K713" s="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3"/>
      <c r="I714" s="3"/>
      <c r="J714" s="3"/>
      <c r="K714" s="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3"/>
      <c r="I715" s="3"/>
      <c r="J715" s="3"/>
      <c r="K715" s="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3"/>
      <c r="I716" s="3"/>
      <c r="J716" s="3"/>
      <c r="K716" s="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3"/>
      <c r="I717" s="3"/>
      <c r="J717" s="3"/>
      <c r="K717" s="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3"/>
      <c r="I718" s="3"/>
      <c r="J718" s="3"/>
      <c r="K718" s="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3"/>
      <c r="I719" s="3"/>
      <c r="J719" s="3"/>
      <c r="K719" s="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3"/>
      <c r="I720" s="3"/>
      <c r="J720" s="3"/>
      <c r="K720" s="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3"/>
      <c r="I721" s="3"/>
      <c r="J721" s="3"/>
      <c r="K721" s="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3"/>
      <c r="I722" s="3"/>
      <c r="J722" s="3"/>
      <c r="K722" s="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3"/>
      <c r="I723" s="3"/>
      <c r="J723" s="3"/>
      <c r="K723" s="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3"/>
      <c r="I724" s="3"/>
      <c r="J724" s="3"/>
      <c r="K724" s="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3"/>
      <c r="I725" s="3"/>
      <c r="J725" s="3"/>
      <c r="K725" s="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3"/>
      <c r="I726" s="3"/>
      <c r="J726" s="3"/>
      <c r="K726" s="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3"/>
      <c r="I727" s="3"/>
      <c r="J727" s="3"/>
      <c r="K727" s="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3"/>
      <c r="I728" s="3"/>
      <c r="J728" s="3"/>
      <c r="K728" s="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3"/>
      <c r="I729" s="3"/>
      <c r="J729" s="3"/>
      <c r="K729" s="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3"/>
      <c r="I730" s="3"/>
      <c r="J730" s="3"/>
      <c r="K730" s="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3"/>
      <c r="I731" s="3"/>
      <c r="J731" s="3"/>
      <c r="K731" s="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3"/>
      <c r="I732" s="3"/>
      <c r="J732" s="3"/>
      <c r="K732" s="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3"/>
      <c r="I733" s="3"/>
      <c r="J733" s="3"/>
      <c r="K733" s="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3"/>
      <c r="I734" s="3"/>
      <c r="J734" s="3"/>
      <c r="K734" s="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3"/>
      <c r="I735" s="3"/>
      <c r="J735" s="3"/>
      <c r="K735" s="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3"/>
      <c r="I736" s="3"/>
      <c r="J736" s="3"/>
      <c r="K736" s="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3"/>
      <c r="I737" s="3"/>
      <c r="J737" s="3"/>
      <c r="K737" s="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3"/>
      <c r="I738" s="3"/>
      <c r="J738" s="3"/>
      <c r="K738" s="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3"/>
      <c r="I739" s="3"/>
      <c r="J739" s="3"/>
      <c r="K739" s="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3"/>
      <c r="I740" s="3"/>
      <c r="J740" s="3"/>
      <c r="K740" s="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3"/>
      <c r="I741" s="3"/>
      <c r="J741" s="3"/>
      <c r="K741" s="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3"/>
      <c r="I742" s="3"/>
      <c r="J742" s="3"/>
      <c r="K742" s="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3"/>
      <c r="I743" s="3"/>
      <c r="J743" s="3"/>
      <c r="K743" s="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3"/>
      <c r="I744" s="3"/>
      <c r="J744" s="3"/>
      <c r="K744" s="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3"/>
      <c r="I745" s="3"/>
      <c r="J745" s="3"/>
      <c r="K745" s="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3"/>
      <c r="I746" s="3"/>
      <c r="J746" s="3"/>
      <c r="K746" s="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3"/>
      <c r="I747" s="3"/>
      <c r="J747" s="3"/>
      <c r="K747" s="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3"/>
      <c r="I748" s="3"/>
      <c r="J748" s="3"/>
      <c r="K748" s="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3"/>
      <c r="I749" s="3"/>
      <c r="J749" s="3"/>
      <c r="K749" s="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3"/>
      <c r="I750" s="3"/>
      <c r="J750" s="3"/>
      <c r="K750" s="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3"/>
      <c r="I751" s="3"/>
      <c r="J751" s="3"/>
      <c r="K751" s="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3"/>
      <c r="I752" s="3"/>
      <c r="J752" s="3"/>
      <c r="K752" s="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3"/>
      <c r="I753" s="3"/>
      <c r="J753" s="3"/>
      <c r="K753" s="3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3"/>
      <c r="I754" s="3"/>
      <c r="J754" s="3"/>
      <c r="K754" s="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3"/>
      <c r="I755" s="3"/>
      <c r="J755" s="3"/>
      <c r="K755" s="3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3"/>
      <c r="I756" s="3"/>
      <c r="J756" s="3"/>
      <c r="K756" s="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3"/>
      <c r="I757" s="3"/>
      <c r="J757" s="3"/>
      <c r="K757" s="3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3"/>
      <c r="I758" s="3"/>
      <c r="J758" s="3"/>
      <c r="K758" s="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3"/>
      <c r="I759" s="3"/>
      <c r="J759" s="3"/>
      <c r="K759" s="3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3"/>
      <c r="I760" s="3"/>
      <c r="J760" s="3"/>
      <c r="K760" s="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3"/>
      <c r="I761" s="3"/>
      <c r="J761" s="3"/>
      <c r="K761" s="3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3"/>
      <c r="I762" s="3"/>
      <c r="J762" s="3"/>
      <c r="K762" s="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3"/>
      <c r="I763" s="3"/>
      <c r="J763" s="3"/>
      <c r="K763" s="3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3"/>
      <c r="I764" s="3"/>
      <c r="J764" s="3"/>
      <c r="K764" s="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3"/>
      <c r="I765" s="3"/>
      <c r="J765" s="3"/>
      <c r="K765" s="3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3"/>
      <c r="I766" s="3"/>
      <c r="J766" s="3"/>
      <c r="K766" s="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3"/>
      <c r="I767" s="3"/>
      <c r="J767" s="3"/>
      <c r="K767" s="3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3"/>
      <c r="I768" s="3"/>
      <c r="J768" s="3"/>
      <c r="K768" s="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3"/>
      <c r="I769" s="3"/>
      <c r="J769" s="3"/>
      <c r="K769" s="3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3"/>
      <c r="I770" s="3"/>
      <c r="J770" s="3"/>
      <c r="K770" s="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3"/>
      <c r="I771" s="3"/>
      <c r="J771" s="3"/>
      <c r="K771" s="3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3"/>
      <c r="I772" s="3"/>
      <c r="J772" s="3"/>
      <c r="K772" s="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3"/>
      <c r="I773" s="3"/>
      <c r="J773" s="3"/>
      <c r="K773" s="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3"/>
      <c r="I774" s="3"/>
      <c r="J774" s="3"/>
      <c r="K774" s="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3"/>
      <c r="I775" s="3"/>
      <c r="J775" s="3"/>
      <c r="K775" s="3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3"/>
      <c r="I776" s="3"/>
      <c r="J776" s="3"/>
      <c r="K776" s="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3"/>
      <c r="I777" s="3"/>
      <c r="J777" s="3"/>
      <c r="K777" s="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3"/>
      <c r="I778" s="3"/>
      <c r="J778" s="3"/>
      <c r="K778" s="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3"/>
      <c r="I779" s="3"/>
      <c r="J779" s="3"/>
      <c r="K779" s="3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3"/>
      <c r="I780" s="3"/>
      <c r="J780" s="3"/>
      <c r="K780" s="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3"/>
      <c r="I781" s="3"/>
      <c r="J781" s="3"/>
      <c r="K781" s="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3"/>
      <c r="I782" s="3"/>
      <c r="J782" s="3"/>
      <c r="K782" s="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3"/>
      <c r="I783" s="3"/>
      <c r="J783" s="3"/>
      <c r="K783" s="3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3"/>
      <c r="I784" s="3"/>
      <c r="J784" s="3"/>
      <c r="K784" s="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3"/>
      <c r="I785" s="3"/>
      <c r="J785" s="3"/>
      <c r="K785" s="3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3"/>
      <c r="I786" s="3"/>
      <c r="J786" s="3"/>
      <c r="K786" s="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3"/>
      <c r="I787" s="3"/>
      <c r="J787" s="3"/>
      <c r="K787" s="3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3"/>
      <c r="I788" s="3"/>
      <c r="J788" s="3"/>
      <c r="K788" s="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3"/>
      <c r="I789" s="3"/>
      <c r="J789" s="3"/>
      <c r="K789" s="3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3"/>
      <c r="I790" s="3"/>
      <c r="J790" s="3"/>
      <c r="K790" s="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3"/>
      <c r="I791" s="3"/>
      <c r="J791" s="3"/>
      <c r="K791" s="3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3"/>
      <c r="I792" s="3"/>
      <c r="J792" s="3"/>
      <c r="K792" s="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3"/>
      <c r="I793" s="3"/>
      <c r="J793" s="3"/>
      <c r="K793" s="3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3"/>
      <c r="I794" s="3"/>
      <c r="J794" s="3"/>
      <c r="K794" s="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3"/>
      <c r="I795" s="3"/>
      <c r="J795" s="3"/>
      <c r="K795" s="3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3"/>
      <c r="I796" s="3"/>
      <c r="J796" s="3"/>
      <c r="K796" s="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3"/>
      <c r="I797" s="3"/>
      <c r="J797" s="3"/>
      <c r="K797" s="3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3"/>
      <c r="I798" s="3"/>
      <c r="J798" s="3"/>
      <c r="K798" s="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3"/>
      <c r="I799" s="3"/>
      <c r="J799" s="3"/>
      <c r="K799" s="3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3"/>
      <c r="I800" s="3"/>
      <c r="J800" s="3"/>
      <c r="K800" s="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3"/>
      <c r="I801" s="3"/>
      <c r="J801" s="3"/>
      <c r="K801" s="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3"/>
      <c r="I802" s="3"/>
      <c r="J802" s="3"/>
      <c r="K802" s="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3"/>
      <c r="I803" s="3"/>
      <c r="J803" s="3"/>
      <c r="K803" s="3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3"/>
      <c r="I804" s="3"/>
      <c r="J804" s="3"/>
      <c r="K804" s="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3"/>
      <c r="I805" s="3"/>
      <c r="J805" s="3"/>
      <c r="K805" s="3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3"/>
      <c r="I806" s="3"/>
      <c r="J806" s="3"/>
      <c r="K806" s="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3"/>
      <c r="I807" s="3"/>
      <c r="J807" s="3"/>
      <c r="K807" s="3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3"/>
      <c r="I808" s="3"/>
      <c r="J808" s="3"/>
      <c r="K808" s="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3"/>
      <c r="I809" s="3"/>
      <c r="J809" s="3"/>
      <c r="K809" s="3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3"/>
      <c r="I810" s="3"/>
      <c r="J810" s="3"/>
      <c r="K810" s="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3"/>
      <c r="I811" s="3"/>
      <c r="J811" s="3"/>
      <c r="K811" s="3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3"/>
      <c r="I812" s="3"/>
      <c r="J812" s="3"/>
      <c r="K812" s="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3"/>
      <c r="I813" s="3"/>
      <c r="J813" s="3"/>
      <c r="K813" s="3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3"/>
      <c r="I814" s="3"/>
      <c r="J814" s="3"/>
      <c r="K814" s="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3"/>
      <c r="I815" s="3"/>
      <c r="J815" s="3"/>
      <c r="K815" s="3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3"/>
      <c r="I816" s="3"/>
      <c r="J816" s="3"/>
      <c r="K816" s="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3"/>
      <c r="I817" s="3"/>
      <c r="J817" s="3"/>
      <c r="K817" s="3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3"/>
      <c r="I818" s="3"/>
      <c r="J818" s="3"/>
      <c r="K818" s="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3"/>
      <c r="I819" s="3"/>
      <c r="J819" s="3"/>
      <c r="K819" s="3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3"/>
      <c r="I820" s="3"/>
      <c r="J820" s="3"/>
      <c r="K820" s="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3"/>
      <c r="I821" s="3"/>
      <c r="J821" s="3"/>
      <c r="K821" s="3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3"/>
      <c r="I822" s="3"/>
      <c r="J822" s="3"/>
      <c r="K822" s="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3"/>
      <c r="I823" s="3"/>
      <c r="J823" s="3"/>
      <c r="K823" s="3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3"/>
      <c r="I824" s="3"/>
      <c r="J824" s="3"/>
      <c r="K824" s="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3"/>
      <c r="I825" s="3"/>
      <c r="J825" s="3"/>
      <c r="K825" s="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3"/>
      <c r="I826" s="3"/>
      <c r="J826" s="3"/>
      <c r="K826" s="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3"/>
      <c r="I827" s="3"/>
      <c r="J827" s="3"/>
      <c r="K827" s="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3"/>
      <c r="I828" s="3"/>
      <c r="J828" s="3"/>
      <c r="K828" s="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3"/>
      <c r="I829" s="3"/>
      <c r="J829" s="3"/>
      <c r="K829" s="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tr">
        <f t="array" ref="A1:A44">UNIQUE(Sheet1!A:A)</f>
        <v>Ingredients</v>
      </c>
    </row>
    <row r="2">
      <c r="A2" s="27"/>
      <c r="B2" s="28" t="s">
        <v>1</v>
      </c>
      <c r="C2" s="28" t="s">
        <v>8</v>
      </c>
      <c r="D2" s="28" t="s">
        <v>3</v>
      </c>
      <c r="E2" s="28" t="s">
        <v>54</v>
      </c>
      <c r="F2" s="28" t="s">
        <v>55</v>
      </c>
      <c r="G2" s="28" t="s">
        <v>56</v>
      </c>
    </row>
    <row r="3">
      <c r="A3" s="27" t="s">
        <v>7</v>
      </c>
      <c r="B3" s="27" t="str">
        <f>VLOOKUP(A3,Sheet1!A:G,2,false)</f>
        <v>Gms</v>
      </c>
      <c r="C3" s="27">
        <f>VLOOKUP(A3,Sheet1!A:G,3,false)</f>
        <v>25</v>
      </c>
      <c r="D3" s="27">
        <f>VLOOKUP(A3,Sheet1!A:G,4,false)</f>
        <v>15.5</v>
      </c>
      <c r="E3" s="27">
        <f>VLOOKUP(A3,Sheet1!A:G,5,false)</f>
        <v>3.27</v>
      </c>
      <c r="F3" s="27">
        <f>VLOOKUP(A3,Sheet1!A:G,6,false)</f>
        <v>0.07</v>
      </c>
      <c r="G3" s="27">
        <f>VLOOKUP(A3,Sheet1!A:G,7,false)</f>
        <v>0.16</v>
      </c>
    </row>
    <row r="4">
      <c r="A4" s="27" t="s">
        <v>9</v>
      </c>
      <c r="B4" s="27" t="str">
        <f>VLOOKUP(A4,Sheet1!A:G,2,false)</f>
        <v>Gms</v>
      </c>
      <c r="C4" s="27">
        <f>VLOOKUP(A4,Sheet1!A:G,3,false)</f>
        <v>25</v>
      </c>
      <c r="D4" s="27">
        <f>VLOOKUP(A4,Sheet1!A:G,4,false)</f>
        <v>13.6</v>
      </c>
      <c r="E4" s="27">
        <f>VLOOKUP(A4,Sheet1!A:G,5,false)</f>
        <v>2.89</v>
      </c>
      <c r="F4" s="27">
        <f>VLOOKUP(A4,Sheet1!A:G,6,false)</f>
        <v>0.33</v>
      </c>
      <c r="G4" s="27">
        <f>VLOOKUP(A4,Sheet1!A:G,7,false)</f>
        <v>0.03</v>
      </c>
    </row>
    <row r="5">
      <c r="A5" s="27" t="s">
        <v>10</v>
      </c>
      <c r="B5" s="27" t="str">
        <f>VLOOKUP(A5,Sheet1!A:G,2,false)</f>
        <v>Gms</v>
      </c>
      <c r="C5" s="27">
        <f>VLOOKUP(A5,Sheet1!A:G,3,false)</f>
        <v>50</v>
      </c>
      <c r="D5" s="27">
        <f>VLOOKUP(A5,Sheet1!A:G,4,false)</f>
        <v>53.5</v>
      </c>
      <c r="E5" s="27">
        <f>VLOOKUP(A5,Sheet1!A:G,5,false)</f>
        <v>12.6</v>
      </c>
      <c r="F5" s="27">
        <f>VLOOKUP(A5,Sheet1!A:G,6,false)</f>
        <v>0.62</v>
      </c>
      <c r="G5" s="27">
        <f>VLOOKUP(A5,Sheet1!A:G,7,false)</f>
        <v>0.16</v>
      </c>
    </row>
    <row r="6">
      <c r="A6" s="27" t="s">
        <v>11</v>
      </c>
      <c r="B6" s="27" t="str">
        <f>VLOOKUP(A6,Sheet1!A:G,2,false)</f>
        <v>Gms</v>
      </c>
      <c r="C6" s="27">
        <f>VLOOKUP(A6,Sheet1!A:G,3,false)</f>
        <v>5</v>
      </c>
      <c r="D6" s="27">
        <f>VLOOKUP(A6,Sheet1!A:G,4,false)</f>
        <v>24.5</v>
      </c>
      <c r="E6" s="27">
        <f>VLOOKUP(A6,Sheet1!A:G,5,false)</f>
        <v>2.1</v>
      </c>
      <c r="F6" s="27">
        <f>VLOOKUP(A6,Sheet1!A:G,6,false)</f>
        <v>0.85</v>
      </c>
      <c r="G6" s="27">
        <f>VLOOKUP(A6,Sheet1!A:G,7,false)</f>
        <v>1.55</v>
      </c>
    </row>
    <row r="7">
      <c r="A7" s="27" t="s">
        <v>12</v>
      </c>
      <c r="B7" s="27" t="str">
        <f>VLOOKUP(A7,Sheet1!A:G,2,false)</f>
        <v>Gms</v>
      </c>
      <c r="C7" s="27">
        <f>VLOOKUP(A7,Sheet1!A:G,3,false)</f>
        <v>50</v>
      </c>
      <c r="D7" s="27">
        <f>VLOOKUP(A7,Sheet1!A:G,4,false)</f>
        <v>194</v>
      </c>
      <c r="E7" s="27">
        <f>VLOOKUP(A7,Sheet1!A:G,5,false)</f>
        <v>33</v>
      </c>
      <c r="F7" s="27">
        <f>VLOOKUP(A7,Sheet1!A:G,6,false)</f>
        <v>8</v>
      </c>
      <c r="G7" s="27">
        <f>VLOOKUP(A7,Sheet1!A:G,7,false)</f>
        <v>3.5</v>
      </c>
    </row>
    <row r="8">
      <c r="A8" s="27" t="s">
        <v>13</v>
      </c>
      <c r="B8" s="27" t="str">
        <f>VLOOKUP(A8,Sheet1!A:G,2,false)</f>
        <v>Gms</v>
      </c>
      <c r="C8" s="27">
        <f>VLOOKUP(A8,Sheet1!A:G,3,false)</f>
        <v>25</v>
      </c>
      <c r="D8" s="27">
        <f>VLOOKUP(A8,Sheet1!A:G,4,false)</f>
        <v>73.03</v>
      </c>
      <c r="E8" s="27">
        <f>VLOOKUP(A8,Sheet1!A:G,5,false)</f>
        <v>17.6</v>
      </c>
      <c r="F8" s="27">
        <f>VLOOKUP(A8,Sheet1!A:G,6,false)</f>
        <v>0.48</v>
      </c>
      <c r="G8" s="27">
        <f>VLOOKUP(A8,Sheet1!A:G,7,false)</f>
        <v>0.07</v>
      </c>
    </row>
    <row r="9">
      <c r="A9" s="27" t="s">
        <v>14</v>
      </c>
      <c r="B9" s="27" t="str">
        <f>VLOOKUP(A9,Sheet1!A:G,2,false)</f>
        <v>Gms</v>
      </c>
      <c r="C9" s="27">
        <f>VLOOKUP(A9,Sheet1!A:G,3,false)</f>
        <v>20</v>
      </c>
      <c r="D9" s="27">
        <f>VLOOKUP(A9,Sheet1!A:G,4,false)</f>
        <v>119.1</v>
      </c>
      <c r="E9" s="27">
        <f>VLOOKUP(A9,Sheet1!A:G,5,false)</f>
        <v>1.1</v>
      </c>
      <c r="F9" s="27">
        <f>VLOOKUP(A9,Sheet1!A:G,6,false)</f>
        <v>3.7</v>
      </c>
      <c r="G9" s="27">
        <f>VLOOKUP(A9,Sheet1!A:G,7,false)</f>
        <v>10.36</v>
      </c>
    </row>
    <row r="10">
      <c r="A10" s="27" t="s">
        <v>15</v>
      </c>
      <c r="B10" s="27" t="str">
        <f>VLOOKUP(A10,Sheet1!A:G,2,false)</f>
        <v>Ml</v>
      </c>
      <c r="C10" s="27">
        <f>VLOOKUP(A10,Sheet1!A:G,3,false)</f>
        <v>200</v>
      </c>
      <c r="D10" s="27">
        <f>VLOOKUP(A10,Sheet1!A:G,4,false)</f>
        <v>97.8</v>
      </c>
      <c r="E10" s="27">
        <f>VLOOKUP(A10,Sheet1!A:G,5,false)</f>
        <v>9.8</v>
      </c>
      <c r="F10" s="27">
        <f>VLOOKUP(A10,Sheet1!A:G,6,false)</f>
        <v>6.52</v>
      </c>
      <c r="G10" s="27">
        <f>VLOOKUP(A10,Sheet1!A:G,7,false)</f>
        <v>8.8</v>
      </c>
    </row>
    <row r="11">
      <c r="A11" s="27" t="s">
        <v>18</v>
      </c>
      <c r="B11" s="27" t="str">
        <f>VLOOKUP(A11,Sheet1!A:G,2,false)</f>
        <v>Gms</v>
      </c>
      <c r="C11" s="27">
        <f>VLOOKUP(A11,Sheet1!A:G,3,false)</f>
        <v>10</v>
      </c>
      <c r="D11" s="27">
        <f>VLOOKUP(A11,Sheet1!A:G,4,false)</f>
        <v>6.82</v>
      </c>
      <c r="E11" s="27">
        <f>VLOOKUP(A11,Sheet1!A:G,5,false)</f>
        <v>2.39</v>
      </c>
      <c r="F11" s="27">
        <f>VLOOKUP(A11,Sheet1!A:G,6,false)</f>
        <v>0.71</v>
      </c>
      <c r="G11" s="27">
        <f>VLOOKUP(A11,Sheet1!A:G,7,false)</f>
        <v>6.2</v>
      </c>
    </row>
    <row r="12">
      <c r="A12" s="27" t="s">
        <v>19</v>
      </c>
      <c r="B12" s="27" t="str">
        <f>VLOOKUP(A12,Sheet1!A:G,2,false)</f>
        <v>Gms</v>
      </c>
      <c r="C12" s="27">
        <f>VLOOKUP(A12,Sheet1!A:G,3,false)</f>
        <v>5</v>
      </c>
      <c r="D12" s="27">
        <f>VLOOKUP(A12,Sheet1!A:G,4,false)</f>
        <v>24.5</v>
      </c>
      <c r="E12" s="27">
        <f>VLOOKUP(A12,Sheet1!A:G,5,false)</f>
        <v>2.1</v>
      </c>
      <c r="F12" s="27">
        <f>VLOOKUP(A12,Sheet1!A:G,6,false)</f>
        <v>0.85</v>
      </c>
      <c r="G12" s="27">
        <f>VLOOKUP(A12,Sheet1!A:G,7,false)</f>
        <v>1.55</v>
      </c>
    </row>
    <row r="13">
      <c r="A13" s="27" t="s">
        <v>20</v>
      </c>
      <c r="B13" s="27" t="str">
        <f>VLOOKUP(A13,Sheet1!A:G,2,false)</f>
        <v>Gms</v>
      </c>
      <c r="C13" s="27">
        <f>VLOOKUP(A13,Sheet1!A:G,3,false)</f>
        <v>50</v>
      </c>
      <c r="D13" s="27">
        <f>VLOOKUP(A13,Sheet1!A:G,4,false)</f>
        <v>20.9</v>
      </c>
      <c r="E13" s="27">
        <f>VLOOKUP(A13,Sheet1!A:G,5,false)</f>
        <v>4.09</v>
      </c>
      <c r="F13" s="27">
        <f>VLOOKUP(A13,Sheet1!A:G,6,false)</f>
        <v>0.27</v>
      </c>
      <c r="G13" s="27">
        <f>VLOOKUP(A13,Sheet1!A:G,7,false)</f>
        <v>0.28</v>
      </c>
    </row>
    <row r="14">
      <c r="A14" s="27" t="s">
        <v>21</v>
      </c>
      <c r="B14" s="27" t="str">
        <f>VLOOKUP(A14,Sheet1!A:G,2,false)</f>
        <v>Gms</v>
      </c>
      <c r="C14" s="27">
        <f>VLOOKUP(A14,Sheet1!A:G,3,false)</f>
        <v>50</v>
      </c>
      <c r="D14" s="27">
        <f>VLOOKUP(A14,Sheet1!A:G,4,false)</f>
        <v>9.3</v>
      </c>
      <c r="E14" s="27">
        <f>VLOOKUP(A14,Sheet1!A:G,5,false)</f>
        <v>1.9</v>
      </c>
      <c r="F14" s="27">
        <f>VLOOKUP(A14,Sheet1!A:G,6,false)</f>
        <v>0.3</v>
      </c>
      <c r="G14" s="27">
        <f>VLOOKUP(A14,Sheet1!A:G,7,false)</f>
        <v>0.07</v>
      </c>
    </row>
    <row r="15">
      <c r="A15" s="27" t="s">
        <v>22</v>
      </c>
      <c r="B15" s="27" t="str">
        <f>VLOOKUP(A15,Sheet1!A:G,2,false)</f>
        <v>nos</v>
      </c>
      <c r="C15" s="27">
        <f>VLOOKUP(A15,Sheet1!A:G,3,false)</f>
        <v>2</v>
      </c>
      <c r="D15" s="27">
        <f>VLOOKUP(A15,Sheet1!A:G,4,false)</f>
        <v>264</v>
      </c>
      <c r="E15" s="27">
        <f>VLOOKUP(A15,Sheet1!A:G,5,false)</f>
        <v>53.08</v>
      </c>
      <c r="F15" s="27">
        <f>VLOOKUP(A15,Sheet1!A:G,6,false)</f>
        <v>9.27</v>
      </c>
      <c r="G15" s="27">
        <f>VLOOKUP(A15,Sheet1!A:G,7,false)</f>
        <v>2.77</v>
      </c>
    </row>
    <row r="16">
      <c r="A16" s="27" t="s">
        <v>24</v>
      </c>
      <c r="B16" s="27" t="str">
        <f>VLOOKUP(A16,Sheet1!A:G,2,false)</f>
        <v>Gms</v>
      </c>
      <c r="C16" s="27">
        <f>VLOOKUP(A16,Sheet1!A:G,3,false)</f>
        <v>60</v>
      </c>
      <c r="D16" s="27">
        <f>VLOOKUP(A16,Sheet1!A:G,4,false)</f>
        <v>382.8</v>
      </c>
      <c r="E16" s="27">
        <f>VLOOKUP(A16,Sheet1!A:G,5,false)</f>
        <v>12.6</v>
      </c>
      <c r="F16" s="27">
        <f>VLOOKUP(A16,Sheet1!A:G,6,false)</f>
        <v>15.6</v>
      </c>
      <c r="G16" s="27">
        <f>VLOOKUP(A16,Sheet1!A:G,7,false)</f>
        <v>30</v>
      </c>
    </row>
    <row r="17">
      <c r="A17" s="27" t="s">
        <v>25</v>
      </c>
      <c r="B17" s="27" t="str">
        <f>VLOOKUP(A17,Sheet1!A:G,2,false)</f>
        <v>Gms</v>
      </c>
      <c r="C17" s="27">
        <f>VLOOKUP(A17,Sheet1!A:G,3,false)</f>
        <v>5</v>
      </c>
      <c r="D17" s="27">
        <f>VLOOKUP(A17,Sheet1!A:G,4,false)</f>
        <v>45</v>
      </c>
      <c r="E17" s="27" t="str">
        <f>VLOOKUP(A17,Sheet1!A:G,5,false)</f>
        <v/>
      </c>
      <c r="F17" s="27" t="str">
        <f>VLOOKUP(A17,Sheet1!A:G,6,false)</f>
        <v/>
      </c>
      <c r="G17" s="27">
        <f>VLOOKUP(A17,Sheet1!A:G,7,false)</f>
        <v>5</v>
      </c>
    </row>
    <row r="18">
      <c r="A18" s="27" t="s">
        <v>26</v>
      </c>
      <c r="B18" s="27" t="str">
        <f>VLOOKUP(A18,Sheet1!A:G,2,false)</f>
        <v>Gms</v>
      </c>
      <c r="C18" s="27">
        <f>VLOOKUP(A18,Sheet1!A:G,3,false)</f>
        <v>350</v>
      </c>
      <c r="D18" s="27">
        <f>VLOOKUP(A18,Sheet1!A:G,4,false)</f>
        <v>240.56</v>
      </c>
      <c r="E18" s="27">
        <f>VLOOKUP(A18,Sheet1!A:G,5,false)</f>
        <v>50.12</v>
      </c>
      <c r="F18" s="27">
        <f>VLOOKUP(A18,Sheet1!A:G,6,false)</f>
        <v>5.37</v>
      </c>
      <c r="G18" s="27">
        <f>VLOOKUP(A18,Sheet1!A:G,7,false)</f>
        <v>1.44</v>
      </c>
    </row>
    <row r="19">
      <c r="A19" s="27" t="s">
        <v>27</v>
      </c>
      <c r="B19" s="27" t="str">
        <f>VLOOKUP(A19,Sheet1!A:G,2,false)</f>
        <v>ml</v>
      </c>
      <c r="C19" s="27">
        <f>VLOOKUP(A19,Sheet1!A:G,3,false)</f>
        <v>20</v>
      </c>
      <c r="D19" s="27">
        <f>VLOOKUP(A19,Sheet1!A:G,4,false)</f>
        <v>11.5</v>
      </c>
      <c r="E19" s="27">
        <f>VLOOKUP(A19,Sheet1!A:G,5,false)</f>
        <v>0.81</v>
      </c>
      <c r="F19" s="27">
        <f>VLOOKUP(A19,Sheet1!A:G,6,false)</f>
        <v>0.76</v>
      </c>
      <c r="G19" s="27">
        <f>VLOOKUP(A19,Sheet1!A:G,7,false)</f>
        <v>0.62</v>
      </c>
    </row>
    <row r="20">
      <c r="A20" s="27" t="s">
        <v>28</v>
      </c>
      <c r="B20" s="27" t="str">
        <f>VLOOKUP(A20,Sheet1!A:G,2,false)</f>
        <v>Gms</v>
      </c>
      <c r="C20" s="27">
        <f>VLOOKUP(A20,Sheet1!A:G,3,false)</f>
        <v>150</v>
      </c>
      <c r="D20" s="27">
        <f>VLOOKUP(A20,Sheet1!A:G,4,false)</f>
        <v>35.8</v>
      </c>
      <c r="E20" s="27">
        <f>VLOOKUP(A20,Sheet1!A:G,5,false)</f>
        <v>6.24</v>
      </c>
      <c r="F20" s="27">
        <f>VLOOKUP(A20,Sheet1!A:G,6,false)</f>
        <v>0.6</v>
      </c>
      <c r="G20" s="27">
        <f>VLOOKUP(A20,Sheet1!A:G,7,false)</f>
        <v>0.24</v>
      </c>
    </row>
    <row r="21">
      <c r="A21" s="27" t="s">
        <v>29</v>
      </c>
      <c r="B21" s="27" t="str">
        <f>VLOOKUP(A21,Sheet1!A:G,2,false)</f>
        <v>Gms</v>
      </c>
      <c r="C21" s="27">
        <f>VLOOKUP(A21,Sheet1!A:G,3,false)</f>
        <v>30</v>
      </c>
      <c r="D21" s="27">
        <f>VLOOKUP(A21,Sheet1!A:G,4,false)</f>
        <v>7.18</v>
      </c>
      <c r="E21" s="27">
        <f>VLOOKUP(A21,Sheet1!A:G,5,false)</f>
        <v>1.28</v>
      </c>
      <c r="F21" s="27">
        <f>VLOOKUP(A21,Sheet1!A:G,6,false)</f>
        <v>0.13</v>
      </c>
      <c r="G21" s="27">
        <f>VLOOKUP(A21,Sheet1!A:G,7,false)</f>
        <v>0.14</v>
      </c>
    </row>
    <row r="22">
      <c r="A22" s="27" t="s">
        <v>30</v>
      </c>
      <c r="B22" s="27" t="str">
        <f>VLOOKUP(A22,Sheet1!A:G,2,false)</f>
        <v>Gms</v>
      </c>
      <c r="C22" s="27">
        <f>VLOOKUP(A22,Sheet1!A:G,3,false)</f>
        <v>30</v>
      </c>
      <c r="D22" s="27">
        <f>VLOOKUP(A22,Sheet1!A:G,4,false)</f>
        <v>12.9</v>
      </c>
      <c r="E22" s="27">
        <f>VLOOKUP(A22,Sheet1!A:G,5,false)</f>
        <v>2.78</v>
      </c>
      <c r="F22" s="27">
        <f>VLOOKUP(A22,Sheet1!A:G,6,false)</f>
        <v>0.15</v>
      </c>
      <c r="G22" s="27">
        <f>VLOOKUP(A22,Sheet1!A:G,7,false)</f>
        <v>0.12</v>
      </c>
    </row>
    <row r="23">
      <c r="A23" s="27" t="s">
        <v>31</v>
      </c>
      <c r="B23" s="27" t="str">
        <f>VLOOKUP(A23,Sheet1!A:G,2,false)</f>
        <v>Gms</v>
      </c>
      <c r="C23" s="27">
        <f>VLOOKUP(A23,Sheet1!A:G,3,false)</f>
        <v>20</v>
      </c>
      <c r="D23" s="27">
        <f>VLOOKUP(A23,Sheet1!A:G,4,false)</f>
        <v>18</v>
      </c>
      <c r="E23" s="27">
        <f>VLOOKUP(A23,Sheet1!A:G,5,false)</f>
        <v>4.4</v>
      </c>
      <c r="F23" s="27">
        <f>VLOOKUP(A23,Sheet1!A:G,6,false)</f>
        <v>0.4</v>
      </c>
      <c r="G23" s="27">
        <f>VLOOKUP(A23,Sheet1!A:G,7,false)</f>
        <v>0.2</v>
      </c>
    </row>
    <row r="24">
      <c r="A24" s="27" t="s">
        <v>32</v>
      </c>
      <c r="B24" s="27" t="str">
        <f>VLOOKUP(A24,Sheet1!A:G,2,false)</f>
        <v>Gms</v>
      </c>
      <c r="C24" s="27">
        <f>VLOOKUP(A24,Sheet1!A:G,3,false)</f>
        <v>250</v>
      </c>
      <c r="D24" s="27">
        <f>VLOOKUP(A24,Sheet1!A:G,4,false)</f>
        <v>231.8</v>
      </c>
      <c r="E24" s="27">
        <f>VLOOKUP(A24,Sheet1!A:G,5,false)</f>
        <v>65.2</v>
      </c>
      <c r="F24" s="27">
        <f>VLOOKUP(A24,Sheet1!A:G,6,false)</f>
        <v>6.62</v>
      </c>
      <c r="G24" s="27">
        <f>VLOOKUP(A24,Sheet1!A:G,7,false)</f>
        <v>0.48</v>
      </c>
    </row>
    <row r="25">
      <c r="A25" s="27" t="s">
        <v>33</v>
      </c>
      <c r="B25" s="27" t="str">
        <f>VLOOKUP(A25,Sheet1!A:G,2,false)</f>
        <v>Gms</v>
      </c>
      <c r="C25" s="27">
        <f>VLOOKUP(A25,Sheet1!A:G,3,false)</f>
        <v>30</v>
      </c>
      <c r="D25" s="27">
        <f>VLOOKUP(A25,Sheet1!A:G,4,false)</f>
        <v>6.76</v>
      </c>
      <c r="E25" s="27">
        <f>VLOOKUP(A25,Sheet1!A:G,5,false)</f>
        <v>0.86</v>
      </c>
      <c r="F25" s="27">
        <f>VLOOKUP(A25,Sheet1!A:G,6,false)</f>
        <v>0.55</v>
      </c>
      <c r="G25" s="27">
        <f>VLOOKUP(A25,Sheet1!A:G,7,false)</f>
        <v>0.11</v>
      </c>
    </row>
    <row r="26">
      <c r="A26" s="27" t="s">
        <v>34</v>
      </c>
      <c r="B26" s="27" t="str">
        <f>VLOOKUP(A26,Sheet1!A:G,2,false)</f>
        <v>Gms</v>
      </c>
      <c r="C26" s="27">
        <f>VLOOKUP(A26,Sheet1!A:G,3,false)</f>
        <v>30</v>
      </c>
      <c r="D26" s="27">
        <f>VLOOKUP(A26,Sheet1!A:G,4,false)</f>
        <v>17.07</v>
      </c>
      <c r="E26" s="27">
        <f>VLOOKUP(A26,Sheet1!A:G,5,false)</f>
        <v>2.74</v>
      </c>
      <c r="F26" s="27">
        <f>VLOOKUP(A26,Sheet1!A:G,6,false)</f>
        <v>2.29</v>
      </c>
      <c r="G26" s="27">
        <f>VLOOKUP(A26,Sheet1!A:G,7,false)</f>
        <v>0.25</v>
      </c>
    </row>
    <row r="27">
      <c r="A27" s="27" t="s">
        <v>35</v>
      </c>
      <c r="B27" s="27" t="str">
        <f>VLOOKUP(A27,Sheet1!A:G,2,false)</f>
        <v>Gms</v>
      </c>
      <c r="C27" s="27">
        <f>VLOOKUP(A27,Sheet1!A:G,3,false)</f>
        <v>60</v>
      </c>
      <c r="D27" s="27">
        <f>VLOOKUP(A27,Sheet1!A:G,4,false)</f>
        <v>100.9</v>
      </c>
      <c r="E27" s="27">
        <f>VLOOKUP(A27,Sheet1!A:G,5,false)</f>
        <v>0.2</v>
      </c>
      <c r="F27" s="27">
        <f>VLOOKUP(A27,Sheet1!A:G,6,false)</f>
        <v>13.67</v>
      </c>
      <c r="G27" s="27">
        <f>VLOOKUP(A27,Sheet1!A:G,7,false)</f>
        <v>5.4</v>
      </c>
    </row>
    <row r="28">
      <c r="A28" s="27" t="s">
        <v>36</v>
      </c>
      <c r="B28" s="27" t="str">
        <f>VLOOKUP(A28,Sheet1!A:G,2,false)</f>
        <v>Gms</v>
      </c>
      <c r="C28" s="27">
        <f>VLOOKUP(A28,Sheet1!A:G,3,false)</f>
        <v>50</v>
      </c>
      <c r="D28" s="27">
        <f>VLOOKUP(A28,Sheet1!A:G,4,false)</f>
        <v>74.8</v>
      </c>
      <c r="E28" s="27">
        <f>VLOOKUP(A28,Sheet1!A:G,5,false)</f>
        <v>12.15</v>
      </c>
      <c r="F28" s="27">
        <f>VLOOKUP(A28,Sheet1!A:G,6,false)</f>
        <v>4.98</v>
      </c>
      <c r="G28" s="27">
        <f>VLOOKUP(A28,Sheet1!A:G,7,false)</f>
        <v>0.44</v>
      </c>
    </row>
    <row r="29">
      <c r="A29" s="27" t="s">
        <v>37</v>
      </c>
      <c r="B29" s="27" t="str">
        <f>VLOOKUP(A29,Sheet1!A:G,2,false)</f>
        <v>Gms</v>
      </c>
      <c r="C29" s="27">
        <f>VLOOKUP(A29,Sheet1!A:G,3,false)</f>
        <v>2</v>
      </c>
      <c r="D29" s="27">
        <f>VLOOKUP(A29,Sheet1!A:G,4,false)</f>
        <v>18</v>
      </c>
      <c r="E29" s="27" t="str">
        <f>VLOOKUP(A29,Sheet1!A:G,5,false)</f>
        <v/>
      </c>
      <c r="F29" s="27" t="str">
        <f>VLOOKUP(A29,Sheet1!A:G,6,false)</f>
        <v/>
      </c>
      <c r="G29" s="27">
        <f>VLOOKUP(A29,Sheet1!A:G,7,false)</f>
        <v>2</v>
      </c>
    </row>
    <row r="30">
      <c r="A30" s="27" t="s">
        <v>38</v>
      </c>
      <c r="B30" s="27" t="str">
        <f>VLOOKUP(A30,Sheet1!A:G,2,false)</f>
        <v>Gms</v>
      </c>
      <c r="C30" s="27">
        <f>VLOOKUP(A30,Sheet1!A:G,3,false)</f>
        <v>30</v>
      </c>
      <c r="D30" s="27">
        <f>VLOOKUP(A30,Sheet1!A:G,4,false)</f>
        <v>17.07</v>
      </c>
      <c r="E30" s="27">
        <f>VLOOKUP(A30,Sheet1!A:G,5,false)</f>
        <v>2.74</v>
      </c>
      <c r="F30" s="27">
        <f>VLOOKUP(A30,Sheet1!A:G,6,false)</f>
        <v>2.29</v>
      </c>
      <c r="G30" s="27">
        <f>VLOOKUP(A30,Sheet1!A:G,7,false)</f>
        <v>0.25</v>
      </c>
    </row>
    <row r="31">
      <c r="A31" s="27" t="s">
        <v>39</v>
      </c>
      <c r="B31" s="27" t="str">
        <f>VLOOKUP(A31,Sheet1!A:G,2,false)</f>
        <v>Gms</v>
      </c>
      <c r="C31" s="27">
        <f>VLOOKUP(A31,Sheet1!A:G,3,false)</f>
        <v>60</v>
      </c>
      <c r="D31" s="27">
        <f>VLOOKUP(A31,Sheet1!A:G,4,false)</f>
        <v>183.27</v>
      </c>
      <c r="E31" s="27">
        <f>VLOOKUP(A31,Sheet1!A:G,5,false)</f>
        <v>1.44</v>
      </c>
      <c r="F31" s="27">
        <f>VLOOKUP(A31,Sheet1!A:G,6,false)</f>
        <v>11.31</v>
      </c>
      <c r="G31" s="27">
        <f>VLOOKUP(A31,Sheet1!A:G,7,false)</f>
        <v>14.86</v>
      </c>
    </row>
    <row r="32">
      <c r="A32" s="27" t="s">
        <v>40</v>
      </c>
      <c r="B32" s="27" t="str">
        <f>VLOOKUP(A32,Sheet1!A:G,2,false)</f>
        <v>Gms</v>
      </c>
      <c r="C32" s="27">
        <f>VLOOKUP(A32,Sheet1!A:G,3,false)</f>
        <v>60</v>
      </c>
      <c r="D32" s="27">
        <f>VLOOKUP(A32,Sheet1!A:G,4,false)</f>
        <v>81.9</v>
      </c>
      <c r="E32" s="27">
        <f>VLOOKUP(A32,Sheet1!A:G,5,false)</f>
        <v>7.9</v>
      </c>
      <c r="F32" s="27">
        <f>VLOOKUP(A32,Sheet1!A:G,6,false)</f>
        <v>12.5</v>
      </c>
      <c r="G32" s="27">
        <f>VLOOKUP(A32,Sheet1!A:G,7,false)</f>
        <v>0.1</v>
      </c>
    </row>
    <row r="33">
      <c r="A33" s="27" t="s">
        <v>41</v>
      </c>
      <c r="B33" s="27" t="str">
        <f>VLOOKUP(A33,Sheet1!A:G,2,false)</f>
        <v>Gms</v>
      </c>
      <c r="C33" s="27">
        <f>VLOOKUP(A33,Sheet1!A:G,3,false)</f>
        <v>60</v>
      </c>
      <c r="D33" s="27">
        <f>VLOOKUP(A33,Sheet1!A:G,4,false)</f>
        <v>100.9</v>
      </c>
      <c r="E33" s="27">
        <f>VLOOKUP(A33,Sheet1!A:G,5,false)</f>
        <v>0.2</v>
      </c>
      <c r="F33" s="27">
        <f>VLOOKUP(A33,Sheet1!A:G,6,false)</f>
        <v>13.67</v>
      </c>
      <c r="G33" s="27">
        <f>VLOOKUP(A33,Sheet1!A:G,7,false)</f>
        <v>5.4</v>
      </c>
    </row>
    <row r="34">
      <c r="A34" s="27" t="s">
        <v>42</v>
      </c>
      <c r="B34" s="27" t="str">
        <f>VLOOKUP(A34,Sheet1!A:G,2,false)</f>
        <v>Gms</v>
      </c>
      <c r="C34" s="27">
        <f>VLOOKUP(A34,Sheet1!A:G,3,false)</f>
        <v>60</v>
      </c>
      <c r="D34" s="27">
        <f>VLOOKUP(A34,Sheet1!A:G,4,false)</f>
        <v>13.08</v>
      </c>
      <c r="E34" s="27">
        <f>VLOOKUP(A34,Sheet1!A:G,5,false)</f>
        <v>7.81</v>
      </c>
      <c r="F34" s="27">
        <f>VLOOKUP(A34,Sheet1!A:G,6,false)</f>
        <v>0.92</v>
      </c>
      <c r="G34" s="27">
        <f>VLOOKUP(A34,Sheet1!A:G,7,false)</f>
        <v>0.16</v>
      </c>
    </row>
    <row r="35">
      <c r="A35" s="27" t="s">
        <v>43</v>
      </c>
      <c r="B35" s="27" t="str">
        <f>VLOOKUP(A35,Sheet1!A:G,2,false)</f>
        <v>Gms</v>
      </c>
      <c r="C35" s="27">
        <f>VLOOKUP(A35,Sheet1!A:G,3,false)</f>
        <v>50</v>
      </c>
      <c r="D35" s="27">
        <f>VLOOKUP(A35,Sheet1!A:G,4,false)</f>
        <v>28.7</v>
      </c>
      <c r="E35" s="27">
        <f>VLOOKUP(A35,Sheet1!A:G,5,false)</f>
        <v>1.98</v>
      </c>
      <c r="F35" s="27">
        <f>VLOOKUP(A35,Sheet1!A:G,6,false)</f>
        <v>1.9</v>
      </c>
      <c r="G35" s="27">
        <f>VLOOKUP(A35,Sheet1!A:G,7,false)</f>
        <v>1.56</v>
      </c>
    </row>
    <row r="36">
      <c r="A36" s="27" t="s">
        <v>44</v>
      </c>
      <c r="B36" s="27" t="str">
        <f>VLOOKUP(A36,Sheet1!A:G,2,false)</f>
        <v>No.</v>
      </c>
      <c r="C36" s="27">
        <f>VLOOKUP(A36,Sheet1!A:G,3,false)</f>
        <v>1</v>
      </c>
      <c r="D36" s="27">
        <f>VLOOKUP(A36,Sheet1!A:G,4,false)</f>
        <v>181</v>
      </c>
      <c r="E36" s="27">
        <f>VLOOKUP(A36,Sheet1!A:G,5,false)</f>
        <v>31.3</v>
      </c>
      <c r="F36" s="27">
        <f>VLOOKUP(A36,Sheet1!A:G,6,false)</f>
        <v>6.4</v>
      </c>
      <c r="G36" s="27">
        <f>VLOOKUP(A36,Sheet1!A:G,7,false)</f>
        <v>3.5</v>
      </c>
    </row>
    <row r="37">
      <c r="A37" s="27" t="s">
        <v>46</v>
      </c>
      <c r="B37" s="27" t="str">
        <f>VLOOKUP(A37,Sheet1!A:G,2,false)</f>
        <v>Gms</v>
      </c>
      <c r="C37" s="27">
        <f>VLOOKUP(A37,Sheet1!A:G,3,false)</f>
        <v>15</v>
      </c>
      <c r="D37" s="27">
        <f>VLOOKUP(A37,Sheet1!A:G,4,false)</f>
        <v>8.49</v>
      </c>
      <c r="E37" s="27">
        <f>VLOOKUP(A37,Sheet1!A:G,5,false)</f>
        <v>1.73</v>
      </c>
      <c r="F37" s="27">
        <f>VLOOKUP(A37,Sheet1!A:G,6,false)</f>
        <v>0.27</v>
      </c>
      <c r="G37" s="27">
        <f>VLOOKUP(A37,Sheet1!A:G,7,false)</f>
        <v>0.02</v>
      </c>
    </row>
    <row r="38">
      <c r="A38" s="27" t="s">
        <v>47</v>
      </c>
      <c r="B38" s="27" t="str">
        <f>VLOOKUP(A38,Sheet1!A:G,2,false)</f>
        <v>Gms</v>
      </c>
      <c r="C38" s="27">
        <f>VLOOKUP(A38,Sheet1!A:G,3,false)</f>
        <v>10</v>
      </c>
      <c r="D38" s="27">
        <f>VLOOKUP(A38,Sheet1!A:G,4,false)</f>
        <v>1.95</v>
      </c>
      <c r="E38" s="27">
        <f>VLOOKUP(A38,Sheet1!A:G,5,false)</f>
        <v>0.27</v>
      </c>
      <c r="F38" s="27">
        <f>VLOOKUP(A38,Sheet1!A:G,6,false)</f>
        <v>0.09</v>
      </c>
      <c r="G38" s="27">
        <f>VLOOKUP(A38,Sheet1!A:G,7,false)</f>
        <v>0.04</v>
      </c>
    </row>
    <row r="39">
      <c r="A39" s="27" t="s">
        <v>48</v>
      </c>
      <c r="B39" s="27" t="str">
        <f>VLOOKUP(A39,Sheet1!A:G,2,false)</f>
        <v>Gms</v>
      </c>
      <c r="C39" s="27">
        <f>VLOOKUP(A39,Sheet1!A:G,3,false)</f>
        <v>10</v>
      </c>
      <c r="D39" s="27">
        <f>VLOOKUP(A39,Sheet1!A:G,4,false)</f>
        <v>1.62</v>
      </c>
      <c r="E39" s="27">
        <f>VLOOKUP(A39,Sheet1!A:G,5,false)</f>
        <v>0.18</v>
      </c>
      <c r="F39" s="27">
        <f>VLOOKUP(A39,Sheet1!A:G,6,false)</f>
        <v>0.12</v>
      </c>
      <c r="G39" s="27">
        <f>VLOOKUP(A39,Sheet1!A:G,7,false)</f>
        <v>0.03</v>
      </c>
    </row>
    <row r="40">
      <c r="A40" s="27" t="s">
        <v>49</v>
      </c>
      <c r="B40" s="27" t="str">
        <f>VLOOKUP(A40,Sheet1!A:G,2,false)</f>
        <v>Gms</v>
      </c>
      <c r="C40" s="27">
        <f>VLOOKUP(A40,Sheet1!A:G,3,false)</f>
        <v>30</v>
      </c>
      <c r="D40" s="27">
        <f>VLOOKUP(A40,Sheet1!A:G,4,false)</f>
        <v>130</v>
      </c>
      <c r="E40" s="27">
        <f>VLOOKUP(A40,Sheet1!A:G,5,false)</f>
        <v>3.6</v>
      </c>
      <c r="F40" s="27">
        <f>VLOOKUP(A40,Sheet1!A:G,6,false)</f>
        <v>0.45</v>
      </c>
      <c r="G40" s="27">
        <f>VLOOKUP(A40,Sheet1!A:G,7,false)</f>
        <v>12.7</v>
      </c>
    </row>
    <row r="41">
      <c r="A41" s="27" t="s">
        <v>50</v>
      </c>
      <c r="B41" s="27" t="str">
        <f>VLOOKUP(A41,Sheet1!A:G,2,false)</f>
        <v>Gms</v>
      </c>
      <c r="C41" s="27">
        <f>VLOOKUP(A41,Sheet1!A:G,3,false)</f>
        <v>10</v>
      </c>
      <c r="D41" s="27">
        <f>VLOOKUP(A41,Sheet1!A:G,4,false)</f>
        <v>12</v>
      </c>
      <c r="E41" s="27">
        <f>VLOOKUP(A41,Sheet1!A:G,5,false)</f>
        <v>2.5</v>
      </c>
      <c r="F41" s="27">
        <f>VLOOKUP(A41,Sheet1!A:G,6,false)</f>
        <v>0.2</v>
      </c>
      <c r="G41" s="27">
        <f>VLOOKUP(A41,Sheet1!A:G,7,false)</f>
        <v>0.01</v>
      </c>
    </row>
    <row r="42">
      <c r="A42" s="27" t="s">
        <v>51</v>
      </c>
      <c r="B42" s="27" t="str">
        <f>VLOOKUP(A42,Sheet1!A:G,2,false)</f>
        <v>Gms</v>
      </c>
      <c r="C42" s="27">
        <f>VLOOKUP(A42,Sheet1!A:G,3,false)</f>
        <v>50</v>
      </c>
      <c r="D42" s="27">
        <f>VLOOKUP(A42,Sheet1!A:G,4,false)</f>
        <v>152.7</v>
      </c>
      <c r="E42" s="27">
        <f>VLOOKUP(A42,Sheet1!A:G,5,false)</f>
        <v>1.2</v>
      </c>
      <c r="F42" s="27">
        <f>VLOOKUP(A42,Sheet1!A:G,6,false)</f>
        <v>9.43</v>
      </c>
      <c r="G42" s="27">
        <f>VLOOKUP(A42,Sheet1!A:G,7,false)</f>
        <v>12.38</v>
      </c>
    </row>
    <row r="43">
      <c r="A43" s="27" t="s">
        <v>52</v>
      </c>
      <c r="B43" s="27" t="str">
        <f>VLOOKUP(A43,Sheet1!A:G,2,false)</f>
        <v>Gms</v>
      </c>
      <c r="C43" s="27">
        <f>VLOOKUP(A43,Sheet1!A:G,3,false)</f>
        <v>50</v>
      </c>
      <c r="D43" s="27" t="str">
        <f>VLOOKUP(A43,Sheet1!A:G,4,false)</f>
        <v/>
      </c>
      <c r="E43" s="27" t="str">
        <f>VLOOKUP(A43,Sheet1!A:G,5,false)</f>
        <v/>
      </c>
      <c r="F43" s="27" t="str">
        <f>VLOOKUP(A43,Sheet1!A:G,6,false)</f>
        <v/>
      </c>
      <c r="G43" s="27" t="str">
        <f>VLOOKUP(A43,Sheet1!A:G,7,false)</f>
        <v/>
      </c>
    </row>
    <row r="44">
      <c r="A44" s="27" t="s">
        <v>53</v>
      </c>
      <c r="B44" s="27" t="str">
        <f>VLOOKUP(A44,Sheet1!A:G,2,false)</f>
        <v>Gms</v>
      </c>
      <c r="C44" s="27">
        <f>VLOOKUP(A44,Sheet1!A:G,3,false)</f>
        <v>4</v>
      </c>
      <c r="D44" s="27">
        <f>VLOOKUP(A44,Sheet1!A:G,4,false)</f>
        <v>3.2</v>
      </c>
      <c r="E44" s="27">
        <f>VLOOKUP(A44,Sheet1!A:G,5,false)</f>
        <v>0.9</v>
      </c>
      <c r="F44" s="27">
        <f>VLOOKUP(A44,Sheet1!A:G,6,false)</f>
        <v>0</v>
      </c>
      <c r="G44" s="27">
        <f>VLOOKUP(A44,Sheet1!A:G,7,false)</f>
        <v>0</v>
      </c>
    </row>
  </sheetData>
  <drawing r:id="rId1"/>
</worksheet>
</file>